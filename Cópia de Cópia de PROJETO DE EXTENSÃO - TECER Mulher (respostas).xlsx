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MDPQ-18" sheetId="2" r:id="rId5"/>
    <sheet state="visible" name="MDPQ" sheetId="3" r:id="rId6"/>
    <sheet state="visible" name="TranspostaMDPQ" sheetId="4" r:id="rId7"/>
    <sheet state="visible" name="Eixos" sheetId="5" r:id="rId8"/>
    <sheet state="visible" name="Métricas de Validade" sheetId="6" r:id="rId9"/>
    <sheet state="visible" name="Dispositivos" sheetId="7" r:id="rId10"/>
    <sheet state="visible" name="Fundamental" sheetId="8" r:id="rId11"/>
    <sheet state="visible" name="Médio" sheetId="9" r:id="rId12"/>
    <sheet state="visible" name="Superior" sheetId="10" r:id="rId13"/>
    <sheet state="visible" name="ScoresMedias" sheetId="11" r:id="rId14"/>
    <sheet state="visible" name="ScoresAVE" sheetId="12" r:id="rId15"/>
    <sheet state="visible" name="Página9" sheetId="13" r:id="rId16"/>
  </sheets>
  <definedNames/>
  <calcPr/>
</workbook>
</file>

<file path=xl/sharedStrings.xml><?xml version="1.0" encoding="utf-8"?>
<sst xmlns="http://schemas.openxmlformats.org/spreadsheetml/2006/main" count="1464" uniqueCount="290">
  <si>
    <t>Carimbo de data/hora</t>
  </si>
  <si>
    <t>Qual sua idade?</t>
  </si>
  <si>
    <t>Escolaridade:</t>
  </si>
  <si>
    <t>Você tem internet em casa?</t>
  </si>
  <si>
    <t>Você tem tablet ou computador?</t>
  </si>
  <si>
    <t>Você tem smart TV em casa?</t>
  </si>
  <si>
    <t>Há quanto tempo você usa celular ou desde quando possui celular?</t>
  </si>
  <si>
    <t>O que você gosta de fazer na internet pelo celular?</t>
  </si>
  <si>
    <t>O que gostaria de aprender a fazer com o seu celular?</t>
  </si>
  <si>
    <t xml:space="preserve">Por que o celular é importante para você? </t>
  </si>
  <si>
    <t>Você já foi vítima de golpe pela internet?</t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</si>
  <si>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[WhatsApp]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</si>
  <si>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[Instagram]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</si>
  <si>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[Facebook]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</si>
  <si>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[YouTube]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</si>
  <si>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[TikTok]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</si>
  <si>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[Kwai]</t>
    </r>
  </si>
  <si>
    <t>Eu sei como ligar e desligar o meu celular.</t>
  </si>
  <si>
    <t>Eu consigo ajustar o brilho da tela do meu celular.</t>
  </si>
  <si>
    <t>Eu consigo enviar e receber mensagens de texto.</t>
  </si>
  <si>
    <t>Eu sei fazer uma ligação telefônica pelo meu celular.</t>
  </si>
  <si>
    <t>Eu consigo encontrar no meu celular a foto/video que eu fiz com minha câmera.</t>
  </si>
  <si>
    <t>Eu sei como enviar uma foto/vídeo do meu celular para algum contato da minha agenda</t>
  </si>
  <si>
    <t>Eu consigo navegar na internet pelo meu celular</t>
  </si>
  <si>
    <t>Eu sei como usar um buscador de internet, como o Google por exemplo (comando de voz ou digitando)</t>
  </si>
  <si>
    <t>Eu consigo localizar algum dado ou data especifica no calendário do meu celular (Ex. Sei encontrar o dia em que cai um certo feriado)</t>
  </si>
  <si>
    <t>Eu sei como configurar lembretes no calendário/agenda do meu celular</t>
  </si>
  <si>
    <t>Eu consigo tocar músicas ou ver vídeos no meu celular.</t>
  </si>
  <si>
    <t>Eu sei como baixar aplicativos no meu celular.</t>
  </si>
  <si>
    <t>Eu sei/acho que o meu celular precisa de senha.</t>
  </si>
  <si>
    <t>Eu sei como cadastrar uma senha no meu celular</t>
  </si>
  <si>
    <t>Eu sei que o sistema do meu celular é o Android (ou maçazinha) e também sei atualizar esse sistema quando é preciso.</t>
  </si>
  <si>
    <t>Eu sei como resolver o problema de aplicativos travando.</t>
  </si>
  <si>
    <t>Eu sei desinstalar aplicativos no meu celular.</t>
  </si>
  <si>
    <t>Eu sei como excluir algum conteúdo (foto/vídeo) quando surge a mensagem de "memória cheia" ou "sem espaço" no meu celular.</t>
  </si>
  <si>
    <t>Fundamental</t>
  </si>
  <si>
    <t>Sim</t>
  </si>
  <si>
    <t>Não</t>
  </si>
  <si>
    <t>3 anos</t>
  </si>
  <si>
    <t>ligação pelo whatsapp</t>
  </si>
  <si>
    <t>enviar mensagem (foto) pelo whatsapp</t>
  </si>
  <si>
    <t>pra poder se comunicar</t>
  </si>
  <si>
    <t>Ligações (chamadas)</t>
  </si>
  <si>
    <t>Não utiliza</t>
  </si>
  <si>
    <t>Médio</t>
  </si>
  <si>
    <t>7 anos</t>
  </si>
  <si>
    <t>mandar aúdio no whatsapp</t>
  </si>
  <si>
    <t>enviar mensagem</t>
  </si>
  <si>
    <t>pela comunicação</t>
  </si>
  <si>
    <t>Mensagens de áudio, Vídeos</t>
  </si>
  <si>
    <t>assistir missa</t>
  </si>
  <si>
    <t>colocar os vídeos sozinha</t>
  </si>
  <si>
    <t>nada a declarar</t>
  </si>
  <si>
    <t>Vídeos</t>
  </si>
  <si>
    <t>16 anos</t>
  </si>
  <si>
    <t>uso somente o whatsapp</t>
  </si>
  <si>
    <t>no momento nada</t>
  </si>
  <si>
    <t>conversar com filhos distantes</t>
  </si>
  <si>
    <t>Mensagens de Texto, Mensagens de áudio, Ligações (chamadas), Vídeos</t>
  </si>
  <si>
    <t>uns 15 anos</t>
  </si>
  <si>
    <t>usar o facebook e whatsapp</t>
  </si>
  <si>
    <t>tirar foto, conectar o celular e caixa de som</t>
  </si>
  <si>
    <t xml:space="preserve">se comunicar </t>
  </si>
  <si>
    <t>uns 10 anos</t>
  </si>
  <si>
    <t>acessar redes sociais</t>
  </si>
  <si>
    <t>pedir uber</t>
  </si>
  <si>
    <t>a troca rápida de informação</t>
  </si>
  <si>
    <t>Há 10 anos</t>
  </si>
  <si>
    <t>Ouvir pregações e louvores</t>
  </si>
  <si>
    <t>Editar vídeos</t>
  </si>
  <si>
    <t xml:space="preserve">Para poder me comunicar com parentes distantes </t>
  </si>
  <si>
    <t>Mensagens de Texto, Mensagens de áudio, Ligações (chamadas), Vídeos, Fazer compras/vendas</t>
  </si>
  <si>
    <t>Mensagens de Texto, Mensagens de áudio, Vídeos</t>
  </si>
  <si>
    <t>Há 5 anos</t>
  </si>
  <si>
    <t>Assistir vídeos</t>
  </si>
  <si>
    <t>Mandar link e mexer no facebook</t>
  </si>
  <si>
    <t xml:space="preserve">Comunicação, ver vídeos </t>
  </si>
  <si>
    <t>Fazer compras/vendas</t>
  </si>
  <si>
    <t>Há 16 anos</t>
  </si>
  <si>
    <t>Ver vídeos no Youtube</t>
  </si>
  <si>
    <t xml:space="preserve">Não tem interesse de aprender função alguma </t>
  </si>
  <si>
    <t>Para conseguir me comunicar com os familiares</t>
  </si>
  <si>
    <t>Mensagens de Texto, Mensagens de áudio, Ligações (chamadas)</t>
  </si>
  <si>
    <t>Há 15 anos</t>
  </si>
  <si>
    <t xml:space="preserve">Mandar mensagens </t>
  </si>
  <si>
    <t xml:space="preserve">Saber resolver problemas técnicos </t>
  </si>
  <si>
    <t>Para poder me comunicar com minha família</t>
  </si>
  <si>
    <t>Há mais de 10 anos</t>
  </si>
  <si>
    <t>Assistir Youtube e mexer no Instagram</t>
  </si>
  <si>
    <t>Mandar localização para contatos</t>
  </si>
  <si>
    <t xml:space="preserve">Para poder me comunicar com facilidade com meus familiares </t>
  </si>
  <si>
    <t>Mensagens de Texto, Ligações (chamadas), Vídeos</t>
  </si>
  <si>
    <t>Mensagens de Texto, Vídeos</t>
  </si>
  <si>
    <t>Superior</t>
  </si>
  <si>
    <t>Desde sempre</t>
  </si>
  <si>
    <t>Ver vídeos sobre informações</t>
  </si>
  <si>
    <t xml:space="preserve">Fazer slide pelo telefone </t>
  </si>
  <si>
    <t xml:space="preserve">Comunicação e informação </t>
  </si>
  <si>
    <t>Coisas do trabalho</t>
  </si>
  <si>
    <t>Nada no momento</t>
  </si>
  <si>
    <t xml:space="preserve">Pelo trabalho </t>
  </si>
  <si>
    <t>Editar um vídeo e colocar senha</t>
  </si>
  <si>
    <t xml:space="preserve">Pela comunicação </t>
  </si>
  <si>
    <t>Há 2 anos</t>
  </si>
  <si>
    <t xml:space="preserve">Conversar com os filhos </t>
  </si>
  <si>
    <t xml:space="preserve">Realizar pagamentos </t>
  </si>
  <si>
    <t xml:space="preserve">Para conversar com qualquer pessoa </t>
  </si>
  <si>
    <t>Mensagens de áudio, Ligações (chamadas)</t>
  </si>
  <si>
    <t>Uns 20 anos</t>
  </si>
  <si>
    <t xml:space="preserve">Ver vídeos e usar redes sociais </t>
  </si>
  <si>
    <t xml:space="preserve">Navegar janelas do celular </t>
  </si>
  <si>
    <t>Para comunicação e informação</t>
  </si>
  <si>
    <t>Mensagens de Texto, Mensagens de áudio, Vídeos, Não utiliza</t>
  </si>
  <si>
    <t>20 anos</t>
  </si>
  <si>
    <t>Pesquisa sobre culinária</t>
  </si>
  <si>
    <t xml:space="preserve">Pagar boleto </t>
  </si>
  <si>
    <t>uns 20 anos</t>
  </si>
  <si>
    <t xml:space="preserve">Navegar nas redes sociais </t>
  </si>
  <si>
    <t>Por uma foto como plano de fundo</t>
  </si>
  <si>
    <t xml:space="preserve">Me comunicar com a família </t>
  </si>
  <si>
    <t>Uns 15 anos</t>
  </si>
  <si>
    <t xml:space="preserve">Conversar com conhecidos </t>
  </si>
  <si>
    <t xml:space="preserve">Salvar contato, utilizar melhor as funções do WhatsApp </t>
  </si>
  <si>
    <t xml:space="preserve">Comunicação com parentes </t>
  </si>
  <si>
    <t>Mensagens de Texto</t>
  </si>
  <si>
    <t>desde sempre</t>
  </si>
  <si>
    <t>pagar conta, fazer pesquisa etc.</t>
  </si>
  <si>
    <t>facilitação na vida</t>
  </si>
  <si>
    <t>pesquisar e ter acesso à redes sociais</t>
  </si>
  <si>
    <t>usar o instagram</t>
  </si>
  <si>
    <t>comunicação e troca de informação</t>
  </si>
  <si>
    <t>15 anos</t>
  </si>
  <si>
    <t>jogar jogos</t>
  </si>
  <si>
    <t>escanear QRcode para poder mandar uma mensagem</t>
  </si>
  <si>
    <t xml:space="preserve">comunicação entre parentes </t>
  </si>
  <si>
    <t>Mensagens de áudio, Ligações (chamadas), Vídeos</t>
  </si>
  <si>
    <t>uns 12 anos</t>
  </si>
  <si>
    <t>apenas trabalho</t>
  </si>
  <si>
    <t>pedir carro/moto de aplicativo</t>
  </si>
  <si>
    <t>para comunicação e trabalho</t>
  </si>
  <si>
    <t>10 anos</t>
  </si>
  <si>
    <t>usar redes sociais</t>
  </si>
  <si>
    <t>realizar pagamentos</t>
  </si>
  <si>
    <t>facilidade</t>
  </si>
  <si>
    <t>comunicar com parentes distantes</t>
  </si>
  <si>
    <t>no momento sem interesse</t>
  </si>
  <si>
    <t>meio de comunicação</t>
  </si>
  <si>
    <t>ver videos</t>
  </si>
  <si>
    <t>fazer pix e pedir carro de aplicativo</t>
  </si>
  <si>
    <t>comunicar com a familia</t>
  </si>
  <si>
    <t>uns 5 anos</t>
  </si>
  <si>
    <t>não tem acesso</t>
  </si>
  <si>
    <t>manda mensagem</t>
  </si>
  <si>
    <t>se comunicar</t>
  </si>
  <si>
    <t>usa há mais de 10 anos</t>
  </si>
  <si>
    <t>pesquisas, mexer no youtube e kwai</t>
  </si>
  <si>
    <t>fazer pix</t>
  </si>
  <si>
    <t>comunicação, notícias e pesquisa</t>
  </si>
  <si>
    <t>assistir videos no youtube</t>
  </si>
  <si>
    <t>enviar pix e enviar contato</t>
  </si>
  <si>
    <t>por conta da comunicação</t>
  </si>
  <si>
    <t>trocar mensagens</t>
  </si>
  <si>
    <t>por status personalizado no whatsapp</t>
  </si>
  <si>
    <t>se comunicar e se informar</t>
  </si>
  <si>
    <t>usa há 2 anos</t>
  </si>
  <si>
    <t>não uso internet</t>
  </si>
  <si>
    <t>mandar aúdio</t>
  </si>
  <si>
    <t>falar com familiares</t>
  </si>
  <si>
    <t>usa há mais de 1 ano</t>
  </si>
  <si>
    <t>ouvir hinos</t>
  </si>
  <si>
    <t>tudo, só sei fazer ligações</t>
  </si>
  <si>
    <t>falar com a família e ouvir hinos</t>
  </si>
  <si>
    <t>E1Q1</t>
  </si>
  <si>
    <t>E1Q2</t>
  </si>
  <si>
    <t>E2Q1</t>
  </si>
  <si>
    <t>E2Q2</t>
  </si>
  <si>
    <t>E3Q1</t>
  </si>
  <si>
    <t>E3Q2</t>
  </si>
  <si>
    <t>E4Q1</t>
  </si>
  <si>
    <t>E4Q2</t>
  </si>
  <si>
    <t>E5Q1</t>
  </si>
  <si>
    <t>E5Q2</t>
  </si>
  <si>
    <t>E6Q1</t>
  </si>
  <si>
    <t>E6Q2</t>
  </si>
  <si>
    <t>E7Q1</t>
  </si>
  <si>
    <t>E7Q2</t>
  </si>
  <si>
    <t>E8Q1</t>
  </si>
  <si>
    <t>E8Q2</t>
  </si>
  <si>
    <t>E9Q1</t>
  </si>
  <si>
    <t>E9Q2</t>
  </si>
  <si>
    <t>Moda por respondente</t>
  </si>
  <si>
    <t>Moda</t>
  </si>
  <si>
    <t>Média</t>
  </si>
  <si>
    <t>Mediana</t>
  </si>
  <si>
    <t>Desvio Padrão</t>
  </si>
  <si>
    <t>Max</t>
  </si>
  <si>
    <t>Min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</si>
  <si>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</si>
  <si>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</si>
  <si>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</si>
  <si>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</si>
  <si>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</si>
  <si>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</si>
  <si>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</si>
  <si>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</si>
  <si>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</si>
  <si>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mediana</t>
  </si>
  <si>
    <t>alfa</t>
  </si>
  <si>
    <t>ave</t>
  </si>
  <si>
    <t>cc</t>
  </si>
  <si>
    <t>Eixos</t>
  </si>
  <si>
    <t>Alpha de Cronbach</t>
  </si>
  <si>
    <t>AVE</t>
  </si>
  <si>
    <t>CC</t>
  </si>
  <si>
    <t>Tablet ou PC</t>
  </si>
  <si>
    <t>Smart TV</t>
  </si>
  <si>
    <t>Nome</t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</si>
  <si>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[WhatsApp]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</si>
  <si>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[Instagram]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</si>
  <si>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[Facebook]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</si>
  <si>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[YouTube]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</si>
  <si>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[TikTok]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</si>
  <si>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[Kwai]</t>
    </r>
  </si>
  <si>
    <t>Maria Pereira de Sousa</t>
  </si>
  <si>
    <t>Rosely Feitoza da Costa</t>
  </si>
  <si>
    <t xml:space="preserve">Maria Alves </t>
  </si>
  <si>
    <t>Zilmar Miranda</t>
  </si>
  <si>
    <t>Joaquina Araujo Santos</t>
  </si>
  <si>
    <t>Doralice Santos Gomes</t>
  </si>
  <si>
    <t>Creuza Castro Ferreira</t>
  </si>
  <si>
    <t>Patrocina Oliveira dos Santos</t>
  </si>
  <si>
    <t>Maria Lucileide Monteiro Ribeiro</t>
  </si>
  <si>
    <t>Maria do Socorro Nascimento</t>
  </si>
  <si>
    <t>Dalvanira</t>
  </si>
  <si>
    <t>Ana Lucia de Souza Ferreira</t>
  </si>
  <si>
    <t>Ana Lúcia da Luz Xavier</t>
  </si>
  <si>
    <t>Vanete Lima dos Santos</t>
  </si>
  <si>
    <t xml:space="preserve"> Ana Rita Ribeiro dos Santos</t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</si>
  <si>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[WhatsApp]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</si>
  <si>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[Instagram]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</si>
  <si>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[Facebook]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</si>
  <si>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[YouTube]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</si>
  <si>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[TikTok]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</si>
  <si>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[Kwai]</t>
    </r>
  </si>
  <si>
    <t>Odete Nunes de Madeiras</t>
  </si>
  <si>
    <t>Sileide de Jesus</t>
  </si>
  <si>
    <t xml:space="preserve">Josilene Silva Fernandes </t>
  </si>
  <si>
    <t>Eva de Souza Barros Flor</t>
  </si>
  <si>
    <t>Clarice de Souza Paiva</t>
  </si>
  <si>
    <t>Marlene Rafael Almeida</t>
  </si>
  <si>
    <t>Maria Odete Sena da Silva</t>
  </si>
  <si>
    <t>Edna Maria Viana Costa</t>
  </si>
  <si>
    <t>Alderiva da Silva Ufaia</t>
  </si>
  <si>
    <t>Antonia da Silva Chaves</t>
  </si>
  <si>
    <t>Adalvina Brito Souza</t>
  </si>
  <si>
    <t>Maria do Socorro Sa. da Rocha Ferreira</t>
  </si>
  <si>
    <t>Isabel Silva dos Santos</t>
  </si>
  <si>
    <t>Glória Maria Cardoso</t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</si>
  <si>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[WhatsApp]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</si>
  <si>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[Instagram]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</si>
  <si>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[Facebook]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</si>
  <si>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[YouTube]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</si>
  <si>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[TikTok]</t>
    </r>
  </si>
  <si>
    <r>
      <rPr>
        <rFont val="Arial"/>
        <b/>
        <color theme="1"/>
      </rPr>
      <t>Hábitos de Uso das Redes Sociais Digitais</t>
    </r>
    <r>
      <rPr>
        <rFont val="Arial"/>
        <color theme="1"/>
      </rPr>
      <t xml:space="preserve"> [Kwai]</t>
    </r>
  </si>
  <si>
    <t>Shirley Georgina de Cristo Gama</t>
  </si>
  <si>
    <t>Rosa Maria Mesquita Milhomem Costa</t>
  </si>
  <si>
    <t>Mônica Suely Ribeiro Veloso</t>
  </si>
  <si>
    <t>Média/Instrução</t>
  </si>
  <si>
    <t>F</t>
  </si>
  <si>
    <t>M</t>
  </si>
  <si>
    <t>S</t>
  </si>
  <si>
    <t>Med</t>
  </si>
  <si>
    <t>Variável</t>
  </si>
  <si>
    <t>Categoria</t>
  </si>
  <si>
    <t>Número</t>
  </si>
  <si>
    <t>Percentual</t>
  </si>
  <si>
    <t>Idade</t>
  </si>
  <si>
    <t>50-59</t>
  </si>
  <si>
    <t>60-69</t>
  </si>
  <si>
    <t>70-79</t>
  </si>
  <si>
    <t>80-89</t>
  </si>
  <si>
    <t>Instrução</t>
  </si>
  <si>
    <t xml:space="preserve">Fundamental </t>
  </si>
  <si>
    <t>Experiência com o dispositivo</t>
  </si>
  <si>
    <t>01-05</t>
  </si>
  <si>
    <t>06-10</t>
  </si>
  <si>
    <t>&gt;11</t>
  </si>
  <si>
    <t>Internet em casa</t>
  </si>
  <si>
    <t>Tablet ou Computador em casa</t>
  </si>
  <si>
    <t>Srmat TV em casa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</si>
</sst>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11111"/>
      <name val="-apple-system"/>
    </font>
    <font>
      <sz val="12.0"/>
      <color rgb="FF111111"/>
      <name val="Arial"/>
    </font>
    <font>
      <sz val="11.0"/>
      <color rgb="FF21212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2" fontId="4" numFmtId="2" xfId="0" applyAlignment="1" applyFont="1" applyNumberFormat="1">
      <alignment horizontal="right" readingOrder="0"/>
    </xf>
    <xf borderId="0" fillId="0" fontId="1" numFmtId="2" xfId="0" applyAlignment="1" applyFont="1" applyNumberFormat="1">
      <alignment horizontal="right" readingOrder="0"/>
    </xf>
    <xf borderId="0" fillId="2" fontId="3" numFmtId="2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49" xfId="0" applyAlignment="1" applyFont="1" applyNumberFormat="1">
      <alignment horizontal="left" shrinkToFit="0" vertical="bottom" wrapText="1"/>
    </xf>
    <xf borderId="0" fillId="0" fontId="5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Qual sua idade?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'Respostas ao formulário 1'!$C$1</c:f>
            </c:strRef>
          </c:tx>
          <c:spPr>
            <a:ln cmpd="sng">
              <a:solidFill>
                <a:srgbClr val="4285F4">
                  <a:alpha val="70196"/>
                </a:srgbClr>
              </a:solidFill>
            </a:ln>
          </c:spPr>
          <c:marker>
            <c:symbol val="circle"/>
            <c:size val="2"/>
            <c:spPr>
              <a:solidFill>
                <a:srgbClr val="4285F4">
                  <a:alpha val="70196"/>
                </a:srgbClr>
              </a:solidFill>
              <a:ln cmpd="sng">
                <a:solidFill>
                  <a:srgbClr val="4285F4">
                    <a:alpha val="70196"/>
                  </a:srgbClr>
                </a:solidFill>
              </a:ln>
            </c:spPr>
          </c:marker>
          <c:dPt>
            <c:idx val="4"/>
            <c:marker>
              <c:symbol val="none"/>
            </c:marker>
          </c:dPt>
          <c:val>
            <c:numRef>
              <c:f>'Respostas ao formulário 1'!$C$2:$C$33</c:f>
              <c:numCache/>
            </c:numRef>
          </c:val>
          <c:smooth val="1"/>
        </c:ser>
        <c:axId val="692204053"/>
        <c:axId val="2035897685"/>
      </c:lineChart>
      <c:catAx>
        <c:axId val="692204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897685"/>
      </c:catAx>
      <c:valAx>
        <c:axId val="2035897685"/>
        <c:scaling>
          <c:orientation val="minMax"/>
          <c:max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Qual sua idade?</a:t>
                </a:r>
              </a:p>
            </c:rich>
          </c:tx>
          <c:overlay val="0"/>
        </c:title>
        <c:numFmt formatCode="General" sourceLinked="0"/>
        <c:majorTickMark val="none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204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Sim e Não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Dispositivos!$B$6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Dispositivos!$A$7:$A$8</c:f>
            </c:strRef>
          </c:cat>
          <c:val>
            <c:numRef>
              <c:f>Dispositivos!$B$7:$B$8</c:f>
              <c:numCache/>
            </c:numRef>
          </c:val>
        </c:ser>
        <c:ser>
          <c:idx val="1"/>
          <c:order val="1"/>
          <c:tx>
            <c:strRef>
              <c:f>Dispositivos!$C$6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Dispositivos!$A$7:$A$8</c:f>
            </c:strRef>
          </c:cat>
          <c:val>
            <c:numRef>
              <c:f>Dispositivos!$C$7:$C$8</c:f>
              <c:numCache/>
            </c:numRef>
          </c:val>
        </c:ser>
        <c:axId val="226968908"/>
        <c:axId val="58267576"/>
      </c:barChart>
      <c:catAx>
        <c:axId val="226968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58267576"/>
      </c:catAx>
      <c:valAx>
        <c:axId val="58267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968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ScoresMedias!$A$2</c:f>
            </c:strRef>
          </c:tx>
          <c:spPr>
            <a:ln cmpd="sng" w="38100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ScoresMedias!$B$1:$S$1</c:f>
            </c:strRef>
          </c:cat>
          <c:val>
            <c:numRef>
              <c:f>ScoresMedias!$B$2:$S$2</c:f>
              <c:numCache/>
            </c:numRef>
          </c:val>
          <c:smooth val="1"/>
        </c:ser>
        <c:ser>
          <c:idx val="1"/>
          <c:order val="1"/>
          <c:tx>
            <c:strRef>
              <c:f>ScoresMedias!$A$3</c:f>
            </c:strRef>
          </c:tx>
          <c:spPr>
            <a:ln cmpd="sng" w="38100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ScoresMedias!$B$1:$S$1</c:f>
            </c:strRef>
          </c:cat>
          <c:val>
            <c:numRef>
              <c:f>ScoresMedias!$B$3:$S$3</c:f>
              <c:numCache/>
            </c:numRef>
          </c:val>
          <c:smooth val="1"/>
        </c:ser>
        <c:ser>
          <c:idx val="2"/>
          <c:order val="2"/>
          <c:tx>
            <c:strRef>
              <c:f>ScoresMedias!$A$4</c:f>
            </c:strRef>
          </c:tx>
          <c:spPr>
            <a:ln cmpd="sng" w="38100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ScoresMedias!$B$1:$S$1</c:f>
            </c:strRef>
          </c:cat>
          <c:val>
            <c:numRef>
              <c:f>ScoresMedias!$B$4:$S$4</c:f>
              <c:numCache/>
            </c:numRef>
          </c:val>
          <c:smooth val="1"/>
        </c:ser>
        <c:ser>
          <c:idx val="3"/>
          <c:order val="3"/>
          <c:tx>
            <c:strRef>
              <c:f>ScoresMedias!$A$5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ScoresMedias!$B$1:$S$1</c:f>
            </c:strRef>
          </c:cat>
          <c:val>
            <c:numRef>
              <c:f>ScoresMedias!$B$5:$S$5</c:f>
              <c:numCache/>
            </c:numRef>
          </c:val>
          <c:smooth val="1"/>
        </c:ser>
        <c:axId val="1303563378"/>
        <c:axId val="1007765371"/>
      </c:radarChart>
      <c:catAx>
        <c:axId val="1303563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765371"/>
      </c:catAx>
      <c:valAx>
        <c:axId val="1007765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563378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180975</xdr:rowOff>
    </xdr:from>
    <xdr:ext cx="4629150" cy="2867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600075</xdr:colOff>
      <xdr:row>2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666750</xdr:colOff>
      <xdr:row>13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19.25"/>
    <col customWidth="1" min="8" max="8" width="18.88"/>
    <col customWidth="1" min="9" max="9" width="27.63"/>
    <col customWidth="1" min="10" max="10" width="43.25"/>
    <col customWidth="1" min="11" max="42" width="18.88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>
      <c r="A2" s="2">
        <v>45371.7157990625</v>
      </c>
      <c r="C2" s="3">
        <v>74.0</v>
      </c>
      <c r="D2" s="3" t="s">
        <v>35</v>
      </c>
      <c r="E2" s="3" t="s">
        <v>36</v>
      </c>
      <c r="F2" s="3" t="s">
        <v>37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37</v>
      </c>
      <c r="M2" s="3" t="s">
        <v>42</v>
      </c>
      <c r="N2" s="3" t="s">
        <v>43</v>
      </c>
      <c r="O2" s="3" t="s">
        <v>43</v>
      </c>
      <c r="P2" s="3" t="s">
        <v>43</v>
      </c>
      <c r="Q2" s="3" t="s">
        <v>43</v>
      </c>
      <c r="R2" s="3" t="s">
        <v>43</v>
      </c>
      <c r="S2" s="3">
        <v>5.0</v>
      </c>
      <c r="T2" s="3">
        <v>1.0</v>
      </c>
      <c r="U2" s="3">
        <v>1.0</v>
      </c>
      <c r="V2" s="3">
        <v>4.0</v>
      </c>
      <c r="W2" s="3">
        <v>1.0</v>
      </c>
      <c r="X2" s="3">
        <v>1.0</v>
      </c>
      <c r="Y2" s="3">
        <v>1.0</v>
      </c>
      <c r="Z2" s="3">
        <v>1.0</v>
      </c>
      <c r="AA2" s="3">
        <v>3.0</v>
      </c>
      <c r="AB2" s="3">
        <v>1.0</v>
      </c>
      <c r="AC2" s="3">
        <v>1.0</v>
      </c>
      <c r="AD2" s="3">
        <v>1.0</v>
      </c>
      <c r="AE2" s="3">
        <v>1.0</v>
      </c>
      <c r="AF2" s="3">
        <v>1.0</v>
      </c>
      <c r="AG2" s="3">
        <v>1.0</v>
      </c>
      <c r="AH2" s="3">
        <v>1.0</v>
      </c>
      <c r="AI2" s="3">
        <v>1.0</v>
      </c>
      <c r="AJ2" s="3">
        <v>1.0</v>
      </c>
    </row>
    <row r="3">
      <c r="A3" s="2">
        <v>45371.720090613424</v>
      </c>
      <c r="C3" s="3">
        <v>79.0</v>
      </c>
      <c r="D3" s="3" t="s">
        <v>44</v>
      </c>
      <c r="E3" s="3" t="s">
        <v>36</v>
      </c>
      <c r="F3" s="3" t="s">
        <v>37</v>
      </c>
      <c r="G3" s="3" t="s">
        <v>36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37</v>
      </c>
      <c r="M3" s="3" t="s">
        <v>49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43</v>
      </c>
      <c r="S3" s="3">
        <v>5.0</v>
      </c>
      <c r="T3" s="3">
        <v>5.0</v>
      </c>
      <c r="U3" s="3">
        <v>1.0</v>
      </c>
      <c r="V3" s="3">
        <v>4.0</v>
      </c>
      <c r="W3" s="3">
        <v>4.0</v>
      </c>
      <c r="X3" s="3">
        <v>1.0</v>
      </c>
      <c r="Y3" s="3">
        <v>2.0</v>
      </c>
      <c r="Z3" s="3">
        <v>1.0</v>
      </c>
      <c r="AA3" s="3">
        <v>5.0</v>
      </c>
      <c r="AB3" s="3">
        <v>1.0</v>
      </c>
      <c r="AC3" s="3">
        <v>4.0</v>
      </c>
      <c r="AD3" s="3">
        <v>1.0</v>
      </c>
      <c r="AE3" s="3">
        <v>5.0</v>
      </c>
      <c r="AF3" s="3">
        <v>1.0</v>
      </c>
      <c r="AG3" s="3">
        <v>1.0</v>
      </c>
      <c r="AH3" s="3">
        <v>1.0</v>
      </c>
      <c r="AI3" s="3">
        <v>1.0</v>
      </c>
      <c r="AJ3" s="3">
        <v>1.0</v>
      </c>
    </row>
    <row r="4">
      <c r="A4" s="2">
        <v>45371.72598454861</v>
      </c>
      <c r="C4" s="3">
        <v>85.0</v>
      </c>
      <c r="D4" s="3" t="s">
        <v>35</v>
      </c>
      <c r="E4" s="3" t="s">
        <v>36</v>
      </c>
      <c r="F4" s="3" t="s">
        <v>37</v>
      </c>
      <c r="G4" s="3" t="s">
        <v>37</v>
      </c>
      <c r="H4" s="3" t="s">
        <v>38</v>
      </c>
      <c r="I4" s="3" t="s">
        <v>50</v>
      </c>
      <c r="J4" s="3" t="s">
        <v>51</v>
      </c>
      <c r="K4" s="3" t="s">
        <v>52</v>
      </c>
      <c r="L4" s="3" t="s">
        <v>37</v>
      </c>
      <c r="M4" s="3" t="s">
        <v>43</v>
      </c>
      <c r="N4" s="3" t="s">
        <v>43</v>
      </c>
      <c r="O4" s="3" t="s">
        <v>43</v>
      </c>
      <c r="P4" s="3" t="s">
        <v>53</v>
      </c>
      <c r="Q4" s="3" t="s">
        <v>43</v>
      </c>
      <c r="R4" s="3" t="s">
        <v>43</v>
      </c>
      <c r="S4" s="3">
        <v>4.0</v>
      </c>
      <c r="T4" s="3">
        <v>1.0</v>
      </c>
      <c r="U4" s="3">
        <v>1.0</v>
      </c>
      <c r="V4" s="3">
        <v>5.0</v>
      </c>
      <c r="W4" s="3">
        <v>1.0</v>
      </c>
      <c r="X4" s="3">
        <v>1.0</v>
      </c>
      <c r="Y4" s="3">
        <v>1.0</v>
      </c>
      <c r="Z4" s="3">
        <v>1.0</v>
      </c>
      <c r="AA4" s="3">
        <v>1.0</v>
      </c>
      <c r="AB4" s="3">
        <v>1.0</v>
      </c>
      <c r="AC4" s="3">
        <v>1.0</v>
      </c>
      <c r="AD4" s="3">
        <v>1.0</v>
      </c>
      <c r="AE4" s="3">
        <v>1.0</v>
      </c>
      <c r="AF4" s="3">
        <v>1.0</v>
      </c>
      <c r="AG4" s="3">
        <v>1.0</v>
      </c>
      <c r="AH4" s="3">
        <v>1.0</v>
      </c>
      <c r="AI4" s="3">
        <v>1.0</v>
      </c>
      <c r="AJ4" s="3">
        <v>1.0</v>
      </c>
    </row>
    <row r="5">
      <c r="A5" s="2">
        <v>45371.737900555556</v>
      </c>
      <c r="C5" s="3">
        <v>78.0</v>
      </c>
      <c r="D5" s="3" t="s">
        <v>35</v>
      </c>
      <c r="E5" s="3" t="s">
        <v>36</v>
      </c>
      <c r="F5" s="3" t="s">
        <v>37</v>
      </c>
      <c r="G5" s="3" t="s">
        <v>36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37</v>
      </c>
      <c r="M5" s="3" t="s">
        <v>58</v>
      </c>
      <c r="N5" s="3" t="s">
        <v>43</v>
      </c>
      <c r="O5" s="3" t="s">
        <v>43</v>
      </c>
      <c r="P5" s="3" t="s">
        <v>53</v>
      </c>
      <c r="Q5" s="3" t="s">
        <v>43</v>
      </c>
      <c r="R5" s="3" t="s">
        <v>43</v>
      </c>
      <c r="S5" s="3">
        <v>5.0</v>
      </c>
      <c r="T5" s="3">
        <v>5.0</v>
      </c>
      <c r="U5" s="3">
        <v>1.0</v>
      </c>
      <c r="V5" s="3">
        <v>5.0</v>
      </c>
      <c r="W5" s="3">
        <v>5.0</v>
      </c>
      <c r="X5" s="3">
        <v>1.0</v>
      </c>
      <c r="Y5" s="3">
        <v>1.0</v>
      </c>
      <c r="Z5" s="3">
        <v>1.0</v>
      </c>
      <c r="AA5" s="3">
        <v>1.0</v>
      </c>
      <c r="AB5" s="3">
        <v>1.0</v>
      </c>
      <c r="AC5" s="3">
        <v>5.0</v>
      </c>
      <c r="AD5" s="3">
        <v>1.0</v>
      </c>
      <c r="AE5" s="3">
        <v>1.0</v>
      </c>
      <c r="AF5" s="3">
        <v>1.0</v>
      </c>
      <c r="AG5" s="3">
        <v>1.0</v>
      </c>
      <c r="AH5" s="3">
        <v>1.0</v>
      </c>
      <c r="AI5" s="3">
        <v>1.0</v>
      </c>
      <c r="AJ5" s="3">
        <v>1.0</v>
      </c>
    </row>
    <row r="6">
      <c r="A6" s="2">
        <v>45371.74223606482</v>
      </c>
      <c r="C6" s="3">
        <v>71.0</v>
      </c>
      <c r="D6" s="3" t="s">
        <v>35</v>
      </c>
      <c r="E6" s="3" t="s">
        <v>36</v>
      </c>
      <c r="F6" s="3" t="s">
        <v>36</v>
      </c>
      <c r="G6" s="3" t="s">
        <v>37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37</v>
      </c>
      <c r="M6" s="3" t="s">
        <v>58</v>
      </c>
      <c r="N6" s="3" t="s">
        <v>43</v>
      </c>
      <c r="O6" s="3" t="s">
        <v>53</v>
      </c>
      <c r="P6" s="3" t="s">
        <v>43</v>
      </c>
      <c r="Q6" s="3" t="s">
        <v>53</v>
      </c>
      <c r="R6" s="3" t="s">
        <v>43</v>
      </c>
      <c r="S6" s="3">
        <v>5.0</v>
      </c>
      <c r="T6" s="3">
        <v>1.0</v>
      </c>
      <c r="U6" s="3">
        <v>3.0</v>
      </c>
      <c r="V6" s="3">
        <v>5.0</v>
      </c>
      <c r="W6" s="3">
        <v>2.0</v>
      </c>
      <c r="X6" s="3">
        <v>4.0</v>
      </c>
      <c r="Y6" s="3">
        <v>1.0</v>
      </c>
      <c r="Z6" s="3">
        <v>1.0</v>
      </c>
      <c r="AA6" s="3">
        <v>2.0</v>
      </c>
      <c r="AB6" s="3">
        <v>1.0</v>
      </c>
      <c r="AC6" s="3">
        <v>1.0</v>
      </c>
      <c r="AD6" s="3">
        <v>1.0</v>
      </c>
      <c r="AE6" s="3">
        <v>1.0</v>
      </c>
      <c r="AF6" s="3">
        <v>1.0</v>
      </c>
      <c r="AG6" s="3">
        <v>1.0</v>
      </c>
      <c r="AH6" s="3">
        <v>1.0</v>
      </c>
      <c r="AI6" s="3">
        <v>1.0</v>
      </c>
      <c r="AJ6" s="3">
        <v>1.0</v>
      </c>
    </row>
    <row r="7">
      <c r="A7" s="2">
        <v>45371.74842005787</v>
      </c>
      <c r="C7" s="3">
        <v>63.0</v>
      </c>
      <c r="D7" s="3" t="s">
        <v>44</v>
      </c>
      <c r="E7" s="3" t="s">
        <v>36</v>
      </c>
      <c r="F7" s="3" t="s">
        <v>37</v>
      </c>
      <c r="G7" s="3" t="s">
        <v>36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37</v>
      </c>
      <c r="M7" s="3" t="s">
        <v>58</v>
      </c>
      <c r="N7" s="3" t="s">
        <v>53</v>
      </c>
      <c r="O7" s="3" t="s">
        <v>53</v>
      </c>
      <c r="P7" s="3" t="s">
        <v>43</v>
      </c>
      <c r="Q7" s="3" t="s">
        <v>53</v>
      </c>
      <c r="R7" s="3" t="s">
        <v>43</v>
      </c>
      <c r="S7" s="3">
        <v>5.0</v>
      </c>
      <c r="T7" s="3">
        <v>5.0</v>
      </c>
      <c r="U7" s="3">
        <v>5.0</v>
      </c>
      <c r="V7" s="3">
        <v>5.0</v>
      </c>
      <c r="W7" s="3">
        <v>5.0</v>
      </c>
      <c r="X7" s="3">
        <v>5.0</v>
      </c>
      <c r="Y7" s="3">
        <v>5.0</v>
      </c>
      <c r="Z7" s="3">
        <v>5.0</v>
      </c>
      <c r="AA7" s="3">
        <v>5.0</v>
      </c>
      <c r="AB7" s="3">
        <v>1.0</v>
      </c>
      <c r="AC7" s="3">
        <v>5.0</v>
      </c>
      <c r="AD7" s="3">
        <v>2.0</v>
      </c>
      <c r="AE7" s="3">
        <v>1.0</v>
      </c>
      <c r="AF7" s="3">
        <v>1.0</v>
      </c>
      <c r="AG7" s="3">
        <v>1.0</v>
      </c>
      <c r="AH7" s="3">
        <v>2.0</v>
      </c>
      <c r="AI7" s="3">
        <v>1.0</v>
      </c>
      <c r="AJ7" s="3">
        <v>5.0</v>
      </c>
    </row>
    <row r="8">
      <c r="A8" s="2">
        <v>45371.84067196759</v>
      </c>
      <c r="C8" s="3">
        <v>50.0</v>
      </c>
      <c r="D8" s="3" t="s">
        <v>44</v>
      </c>
      <c r="E8" s="3" t="s">
        <v>36</v>
      </c>
      <c r="F8" s="3" t="s">
        <v>36</v>
      </c>
      <c r="G8" s="3" t="s">
        <v>36</v>
      </c>
      <c r="H8" s="3" t="s">
        <v>67</v>
      </c>
      <c r="I8" s="3" t="s">
        <v>68</v>
      </c>
      <c r="J8" s="3" t="s">
        <v>69</v>
      </c>
      <c r="K8" s="3" t="s">
        <v>70</v>
      </c>
      <c r="L8" s="3" t="s">
        <v>37</v>
      </c>
      <c r="M8" s="3" t="s">
        <v>71</v>
      </c>
      <c r="N8" s="3" t="s">
        <v>72</v>
      </c>
      <c r="O8" s="3" t="s">
        <v>53</v>
      </c>
      <c r="P8" s="3" t="s">
        <v>43</v>
      </c>
      <c r="Q8" s="3" t="s">
        <v>43</v>
      </c>
      <c r="R8" s="3" t="s">
        <v>43</v>
      </c>
      <c r="S8" s="3">
        <v>5.0</v>
      </c>
      <c r="T8" s="3">
        <v>5.0</v>
      </c>
      <c r="U8" s="3">
        <v>5.0</v>
      </c>
      <c r="V8" s="3">
        <v>5.0</v>
      </c>
      <c r="W8" s="3">
        <v>5.0</v>
      </c>
      <c r="X8" s="3">
        <v>5.0</v>
      </c>
      <c r="Y8" s="3">
        <v>5.0</v>
      </c>
      <c r="Z8" s="3">
        <v>4.0</v>
      </c>
      <c r="AA8" s="3">
        <v>5.0</v>
      </c>
      <c r="AB8" s="3">
        <v>4.0</v>
      </c>
      <c r="AC8" s="3">
        <v>5.0</v>
      </c>
      <c r="AD8" s="3">
        <v>5.0</v>
      </c>
      <c r="AE8" s="3">
        <v>5.0</v>
      </c>
      <c r="AF8" s="3">
        <v>1.0</v>
      </c>
      <c r="AG8" s="3">
        <v>5.0</v>
      </c>
      <c r="AH8" s="3">
        <v>2.0</v>
      </c>
      <c r="AI8" s="3">
        <v>5.0</v>
      </c>
      <c r="AJ8" s="3">
        <v>5.0</v>
      </c>
    </row>
    <row r="9">
      <c r="A9" s="2">
        <v>45371.91823776621</v>
      </c>
      <c r="C9" s="3">
        <v>52.0</v>
      </c>
      <c r="D9" s="3" t="s">
        <v>35</v>
      </c>
      <c r="E9" s="3" t="s">
        <v>36</v>
      </c>
      <c r="F9" s="3" t="s">
        <v>37</v>
      </c>
      <c r="G9" s="3" t="s">
        <v>36</v>
      </c>
      <c r="H9" s="3" t="s">
        <v>73</v>
      </c>
      <c r="I9" s="3" t="s">
        <v>74</v>
      </c>
      <c r="J9" s="3" t="s">
        <v>75</v>
      </c>
      <c r="K9" s="3" t="s">
        <v>76</v>
      </c>
      <c r="L9" s="3" t="s">
        <v>37</v>
      </c>
      <c r="M9" s="3" t="s">
        <v>58</v>
      </c>
      <c r="N9" s="3" t="s">
        <v>53</v>
      </c>
      <c r="O9" s="3" t="s">
        <v>53</v>
      </c>
      <c r="P9" s="3" t="s">
        <v>53</v>
      </c>
      <c r="Q9" s="3" t="s">
        <v>77</v>
      </c>
      <c r="R9" s="3" t="s">
        <v>77</v>
      </c>
      <c r="S9" s="3">
        <v>5.0</v>
      </c>
      <c r="T9" s="3">
        <v>5.0</v>
      </c>
      <c r="U9" s="3">
        <v>2.0</v>
      </c>
      <c r="V9" s="3">
        <v>5.0</v>
      </c>
      <c r="W9" s="3">
        <v>1.0</v>
      </c>
      <c r="X9" s="3">
        <v>5.0</v>
      </c>
      <c r="Y9" s="3">
        <v>3.0</v>
      </c>
      <c r="Z9" s="3">
        <v>5.0</v>
      </c>
      <c r="AA9" s="3">
        <v>1.0</v>
      </c>
      <c r="AB9" s="3">
        <v>1.0</v>
      </c>
      <c r="AC9" s="3">
        <v>4.0</v>
      </c>
      <c r="AD9" s="3">
        <v>1.0</v>
      </c>
      <c r="AE9" s="3">
        <v>5.0</v>
      </c>
      <c r="AF9" s="3">
        <v>1.0</v>
      </c>
      <c r="AG9" s="3">
        <v>5.0</v>
      </c>
      <c r="AH9" s="3">
        <v>3.0</v>
      </c>
      <c r="AI9" s="3">
        <v>1.0</v>
      </c>
      <c r="AJ9" s="3">
        <v>1.0</v>
      </c>
    </row>
    <row r="10">
      <c r="A10" s="2">
        <v>45371.9199928125</v>
      </c>
      <c r="C10" s="3">
        <v>55.0</v>
      </c>
      <c r="D10" s="3" t="s">
        <v>44</v>
      </c>
      <c r="E10" s="3" t="s">
        <v>36</v>
      </c>
      <c r="F10" s="3" t="s">
        <v>36</v>
      </c>
      <c r="G10" s="3" t="s">
        <v>36</v>
      </c>
      <c r="H10" s="3" t="s">
        <v>78</v>
      </c>
      <c r="I10" s="3" t="s">
        <v>79</v>
      </c>
      <c r="J10" s="3" t="s">
        <v>80</v>
      </c>
      <c r="K10" s="3" t="s">
        <v>81</v>
      </c>
      <c r="L10" s="3" t="s">
        <v>37</v>
      </c>
      <c r="M10" s="3" t="s">
        <v>82</v>
      </c>
      <c r="N10" s="3" t="s">
        <v>43</v>
      </c>
      <c r="O10" s="3" t="s">
        <v>43</v>
      </c>
      <c r="P10" s="3" t="s">
        <v>53</v>
      </c>
      <c r="Q10" s="3" t="s">
        <v>43</v>
      </c>
      <c r="R10" s="3" t="s">
        <v>43</v>
      </c>
      <c r="S10" s="3">
        <v>5.0</v>
      </c>
      <c r="T10" s="3">
        <v>5.0</v>
      </c>
      <c r="U10" s="3">
        <v>4.0</v>
      </c>
      <c r="V10" s="3">
        <v>5.0</v>
      </c>
      <c r="W10" s="3">
        <v>5.0</v>
      </c>
      <c r="X10" s="3">
        <v>5.0</v>
      </c>
      <c r="Y10" s="3">
        <v>4.0</v>
      </c>
      <c r="Z10" s="3">
        <v>5.0</v>
      </c>
      <c r="AA10" s="3">
        <v>5.0</v>
      </c>
      <c r="AB10" s="3">
        <v>1.0</v>
      </c>
      <c r="AC10" s="3">
        <v>5.0</v>
      </c>
      <c r="AD10" s="3">
        <v>1.0</v>
      </c>
      <c r="AE10" s="3">
        <v>5.0</v>
      </c>
      <c r="AF10" s="3">
        <v>1.0</v>
      </c>
      <c r="AG10" s="3">
        <v>5.0</v>
      </c>
      <c r="AH10" s="3">
        <v>1.0</v>
      </c>
      <c r="AI10" s="3">
        <v>1.0</v>
      </c>
      <c r="AJ10" s="3">
        <v>5.0</v>
      </c>
    </row>
    <row r="11">
      <c r="A11" s="2">
        <v>45371.92231394676</v>
      </c>
      <c r="C11" s="3">
        <v>76.0</v>
      </c>
      <c r="D11" s="3" t="s">
        <v>35</v>
      </c>
      <c r="E11" s="3" t="s">
        <v>36</v>
      </c>
      <c r="F11" s="3" t="s">
        <v>37</v>
      </c>
      <c r="G11" s="3" t="s">
        <v>37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37</v>
      </c>
      <c r="M11" s="3" t="s">
        <v>58</v>
      </c>
      <c r="N11" s="3" t="s">
        <v>43</v>
      </c>
      <c r="O11" s="3" t="s">
        <v>53</v>
      </c>
      <c r="P11" s="3" t="s">
        <v>43</v>
      </c>
      <c r="Q11" s="3" t="s">
        <v>53</v>
      </c>
      <c r="R11" s="3" t="s">
        <v>43</v>
      </c>
      <c r="S11" s="3">
        <v>5.0</v>
      </c>
      <c r="T11" s="3">
        <v>5.0</v>
      </c>
      <c r="U11" s="3">
        <v>5.0</v>
      </c>
      <c r="V11" s="3">
        <v>5.0</v>
      </c>
      <c r="W11" s="3">
        <v>5.0</v>
      </c>
      <c r="X11" s="3">
        <v>1.0</v>
      </c>
      <c r="Y11" s="3">
        <v>4.0</v>
      </c>
      <c r="Z11" s="3">
        <v>5.0</v>
      </c>
      <c r="AA11" s="3">
        <v>1.0</v>
      </c>
      <c r="AB11" s="3">
        <v>1.0</v>
      </c>
      <c r="AC11" s="3">
        <v>3.0</v>
      </c>
      <c r="AD11" s="3">
        <v>1.0</v>
      </c>
      <c r="AE11" s="3">
        <v>5.0</v>
      </c>
      <c r="AF11" s="3">
        <v>1.0</v>
      </c>
      <c r="AG11" s="3">
        <v>5.0</v>
      </c>
      <c r="AH11" s="3">
        <v>1.0</v>
      </c>
      <c r="AI11" s="3">
        <v>4.0</v>
      </c>
      <c r="AJ11" s="3">
        <v>3.0</v>
      </c>
    </row>
    <row r="12">
      <c r="A12" s="2">
        <v>45371.92607453704</v>
      </c>
      <c r="C12" s="3">
        <v>65.0</v>
      </c>
      <c r="D12" s="3" t="s">
        <v>35</v>
      </c>
      <c r="E12" s="3" t="s">
        <v>36</v>
      </c>
      <c r="F12" s="3" t="s">
        <v>37</v>
      </c>
      <c r="G12" s="3" t="s">
        <v>36</v>
      </c>
      <c r="H12" s="3" t="s">
        <v>87</v>
      </c>
      <c r="I12" s="3" t="s">
        <v>88</v>
      </c>
      <c r="J12" s="3" t="s">
        <v>89</v>
      </c>
      <c r="K12" s="3" t="s">
        <v>90</v>
      </c>
      <c r="L12" s="3" t="s">
        <v>37</v>
      </c>
      <c r="M12" s="3" t="s">
        <v>58</v>
      </c>
      <c r="N12" s="3" t="s">
        <v>91</v>
      </c>
      <c r="O12" s="3" t="s">
        <v>91</v>
      </c>
      <c r="P12" s="3" t="s">
        <v>92</v>
      </c>
      <c r="Q12" s="3" t="s">
        <v>53</v>
      </c>
      <c r="R12" s="3" t="s">
        <v>43</v>
      </c>
      <c r="S12" s="3">
        <v>5.0</v>
      </c>
      <c r="T12" s="3">
        <v>5.0</v>
      </c>
      <c r="U12" s="3">
        <v>5.0</v>
      </c>
      <c r="V12" s="3">
        <v>5.0</v>
      </c>
      <c r="W12" s="3">
        <v>5.0</v>
      </c>
      <c r="X12" s="3">
        <v>5.0</v>
      </c>
      <c r="Y12" s="3">
        <v>3.0</v>
      </c>
      <c r="Z12" s="3">
        <v>5.0</v>
      </c>
      <c r="AA12" s="3">
        <v>5.0</v>
      </c>
      <c r="AB12" s="3">
        <v>3.0</v>
      </c>
      <c r="AC12" s="3">
        <v>4.0</v>
      </c>
      <c r="AD12" s="3">
        <v>5.0</v>
      </c>
      <c r="AE12" s="3">
        <v>5.0</v>
      </c>
      <c r="AF12" s="3">
        <v>1.0</v>
      </c>
      <c r="AG12" s="3">
        <v>5.0</v>
      </c>
      <c r="AH12" s="3">
        <v>1.0</v>
      </c>
      <c r="AI12" s="3">
        <v>5.0</v>
      </c>
      <c r="AJ12" s="3">
        <v>5.0</v>
      </c>
    </row>
    <row r="13">
      <c r="A13" s="2">
        <v>45372.35392430556</v>
      </c>
      <c r="C13" s="3">
        <v>61.0</v>
      </c>
      <c r="D13" s="3" t="s">
        <v>93</v>
      </c>
      <c r="E13" s="3" t="s">
        <v>36</v>
      </c>
      <c r="F13" s="3" t="s">
        <v>36</v>
      </c>
      <c r="G13" s="3" t="s">
        <v>36</v>
      </c>
      <c r="H13" s="3" t="s">
        <v>94</v>
      </c>
      <c r="I13" s="3" t="s">
        <v>95</v>
      </c>
      <c r="J13" s="3" t="s">
        <v>96</v>
      </c>
      <c r="K13" s="3" t="s">
        <v>97</v>
      </c>
      <c r="L13" s="3" t="s">
        <v>37</v>
      </c>
      <c r="M13" s="3" t="s">
        <v>71</v>
      </c>
      <c r="N13" s="3" t="s">
        <v>43</v>
      </c>
      <c r="O13" s="3" t="s">
        <v>43</v>
      </c>
      <c r="P13" s="3" t="s">
        <v>53</v>
      </c>
      <c r="Q13" s="3" t="s">
        <v>43</v>
      </c>
      <c r="R13" s="3" t="s">
        <v>53</v>
      </c>
      <c r="S13" s="3">
        <v>5.0</v>
      </c>
      <c r="T13" s="3">
        <v>5.0</v>
      </c>
      <c r="U13" s="3">
        <v>5.0</v>
      </c>
      <c r="V13" s="3">
        <v>5.0</v>
      </c>
      <c r="W13" s="3">
        <v>5.0</v>
      </c>
      <c r="X13" s="3">
        <v>5.0</v>
      </c>
      <c r="Y13" s="3">
        <v>5.0</v>
      </c>
      <c r="Z13" s="3">
        <v>5.0</v>
      </c>
      <c r="AA13" s="3">
        <v>1.0</v>
      </c>
      <c r="AB13" s="3">
        <v>1.0</v>
      </c>
      <c r="AC13" s="3">
        <v>5.0</v>
      </c>
      <c r="AD13" s="3">
        <v>5.0</v>
      </c>
      <c r="AE13" s="3">
        <v>5.0</v>
      </c>
      <c r="AF13" s="3">
        <v>5.0</v>
      </c>
      <c r="AG13" s="3">
        <v>2.0</v>
      </c>
      <c r="AH13" s="3">
        <v>1.0</v>
      </c>
      <c r="AI13" s="3">
        <v>5.0</v>
      </c>
      <c r="AJ13" s="3">
        <v>5.0</v>
      </c>
    </row>
    <row r="14">
      <c r="A14" s="2">
        <v>45372.37151578703</v>
      </c>
      <c r="C14" s="3">
        <v>67.0</v>
      </c>
      <c r="D14" s="3" t="s">
        <v>93</v>
      </c>
      <c r="E14" s="3" t="s">
        <v>36</v>
      </c>
      <c r="F14" s="3" t="s">
        <v>36</v>
      </c>
      <c r="G14" s="3" t="s">
        <v>36</v>
      </c>
      <c r="H14" s="3" t="s">
        <v>94</v>
      </c>
      <c r="I14" s="3" t="s">
        <v>98</v>
      </c>
      <c r="J14" s="3" t="s">
        <v>99</v>
      </c>
      <c r="K14" s="3" t="s">
        <v>100</v>
      </c>
      <c r="L14" s="3" t="s">
        <v>36</v>
      </c>
      <c r="M14" s="3" t="s">
        <v>58</v>
      </c>
      <c r="N14" s="3" t="s">
        <v>53</v>
      </c>
      <c r="O14" s="3" t="s">
        <v>53</v>
      </c>
      <c r="P14" s="3" t="s">
        <v>43</v>
      </c>
      <c r="Q14" s="3" t="s">
        <v>43</v>
      </c>
      <c r="R14" s="3" t="s">
        <v>43</v>
      </c>
      <c r="S14" s="3">
        <v>5.0</v>
      </c>
      <c r="T14" s="3">
        <v>5.0</v>
      </c>
      <c r="U14" s="3">
        <v>5.0</v>
      </c>
      <c r="V14" s="3">
        <v>5.0</v>
      </c>
      <c r="W14" s="3">
        <v>5.0</v>
      </c>
      <c r="X14" s="3">
        <v>5.0</v>
      </c>
      <c r="Y14" s="3">
        <v>5.0</v>
      </c>
      <c r="Z14" s="3">
        <v>1.0</v>
      </c>
      <c r="AA14" s="3">
        <v>1.0</v>
      </c>
      <c r="AB14" s="3">
        <v>5.0</v>
      </c>
      <c r="AC14" s="3">
        <v>5.0</v>
      </c>
      <c r="AD14" s="3">
        <v>2.0</v>
      </c>
      <c r="AE14" s="3">
        <v>1.0</v>
      </c>
      <c r="AF14" s="3">
        <v>5.0</v>
      </c>
      <c r="AG14" s="3">
        <v>4.0</v>
      </c>
      <c r="AH14" s="3">
        <v>4.0</v>
      </c>
      <c r="AI14" s="3">
        <v>1.0</v>
      </c>
      <c r="AJ14" s="3">
        <v>5.0</v>
      </c>
    </row>
    <row r="15">
      <c r="A15" s="2">
        <v>45372.37436903935</v>
      </c>
      <c r="C15" s="3">
        <v>52.0</v>
      </c>
      <c r="D15" s="3" t="s">
        <v>44</v>
      </c>
      <c r="E15" s="3" t="s">
        <v>36</v>
      </c>
      <c r="F15" s="3" t="s">
        <v>37</v>
      </c>
      <c r="G15" s="3" t="s">
        <v>37</v>
      </c>
      <c r="H15" s="3" t="s">
        <v>73</v>
      </c>
      <c r="I15" s="3" t="s">
        <v>79</v>
      </c>
      <c r="J15" s="3" t="s">
        <v>101</v>
      </c>
      <c r="K15" s="3" t="s">
        <v>102</v>
      </c>
      <c r="L15" s="3" t="s">
        <v>37</v>
      </c>
      <c r="M15" s="3" t="s">
        <v>82</v>
      </c>
      <c r="N15" s="3" t="s">
        <v>43</v>
      </c>
      <c r="O15" s="3" t="s">
        <v>43</v>
      </c>
      <c r="P15" s="3" t="s">
        <v>53</v>
      </c>
      <c r="Q15" s="3" t="s">
        <v>43</v>
      </c>
      <c r="R15" s="3" t="s">
        <v>43</v>
      </c>
      <c r="S15" s="3">
        <v>5.0</v>
      </c>
      <c r="T15" s="3">
        <v>5.0</v>
      </c>
      <c r="U15" s="3">
        <v>5.0</v>
      </c>
      <c r="V15" s="3">
        <v>5.0</v>
      </c>
      <c r="W15" s="3">
        <v>5.0</v>
      </c>
      <c r="X15" s="3">
        <v>5.0</v>
      </c>
      <c r="Y15" s="3">
        <v>5.0</v>
      </c>
      <c r="Z15" s="3">
        <v>5.0</v>
      </c>
      <c r="AA15" s="3">
        <v>1.0</v>
      </c>
      <c r="AB15" s="3">
        <v>1.0</v>
      </c>
      <c r="AC15" s="3">
        <v>5.0</v>
      </c>
      <c r="AD15" s="3">
        <v>1.0</v>
      </c>
      <c r="AE15" s="3">
        <v>5.0</v>
      </c>
      <c r="AF15" s="3">
        <v>1.0</v>
      </c>
      <c r="AG15" s="3">
        <v>1.0</v>
      </c>
      <c r="AH15" s="3">
        <v>1.0</v>
      </c>
      <c r="AI15" s="3">
        <v>1.0</v>
      </c>
      <c r="AJ15" s="3">
        <v>1.0</v>
      </c>
    </row>
    <row r="16">
      <c r="A16" s="2">
        <v>45372.37665052083</v>
      </c>
      <c r="C16" s="3">
        <v>68.0</v>
      </c>
      <c r="D16" s="3" t="s">
        <v>35</v>
      </c>
      <c r="E16" s="3" t="s">
        <v>36</v>
      </c>
      <c r="F16" s="3" t="s">
        <v>37</v>
      </c>
      <c r="G16" s="3" t="s">
        <v>36</v>
      </c>
      <c r="H16" s="3" t="s">
        <v>103</v>
      </c>
      <c r="I16" s="3" t="s">
        <v>104</v>
      </c>
      <c r="J16" s="3" t="s">
        <v>105</v>
      </c>
      <c r="K16" s="3" t="s">
        <v>106</v>
      </c>
      <c r="L16" s="3" t="s">
        <v>37</v>
      </c>
      <c r="M16" s="3" t="s">
        <v>107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43</v>
      </c>
      <c r="S16" s="3">
        <v>5.0</v>
      </c>
      <c r="T16" s="3">
        <v>3.0</v>
      </c>
      <c r="U16" s="3">
        <v>2.0</v>
      </c>
      <c r="V16" s="3">
        <v>5.0</v>
      </c>
      <c r="W16" s="3">
        <v>4.0</v>
      </c>
      <c r="X16" s="3">
        <v>5.0</v>
      </c>
      <c r="Y16" s="3">
        <v>2.0</v>
      </c>
      <c r="Z16" s="3">
        <v>1.0</v>
      </c>
      <c r="AA16" s="3">
        <v>1.0</v>
      </c>
      <c r="AB16" s="3">
        <v>1.0</v>
      </c>
      <c r="AC16" s="3">
        <v>5.0</v>
      </c>
      <c r="AD16" s="3">
        <v>1.0</v>
      </c>
      <c r="AE16" s="3">
        <v>2.0</v>
      </c>
      <c r="AF16" s="3">
        <v>2.0</v>
      </c>
      <c r="AG16" s="3">
        <v>1.0</v>
      </c>
      <c r="AH16" s="3">
        <v>3.0</v>
      </c>
      <c r="AI16" s="3">
        <v>4.0</v>
      </c>
      <c r="AJ16" s="3">
        <v>4.0</v>
      </c>
    </row>
    <row r="17">
      <c r="A17" s="2">
        <v>45372.38089936343</v>
      </c>
      <c r="C17" s="3">
        <v>73.0</v>
      </c>
      <c r="D17" s="3" t="s">
        <v>44</v>
      </c>
      <c r="E17" s="3" t="s">
        <v>36</v>
      </c>
      <c r="F17" s="3" t="s">
        <v>37</v>
      </c>
      <c r="G17" s="3" t="s">
        <v>36</v>
      </c>
      <c r="H17" s="3" t="s">
        <v>108</v>
      </c>
      <c r="I17" s="3" t="s">
        <v>109</v>
      </c>
      <c r="J17" s="3" t="s">
        <v>110</v>
      </c>
      <c r="K17" s="3" t="s">
        <v>111</v>
      </c>
      <c r="L17" s="3" t="s">
        <v>37</v>
      </c>
      <c r="M17" s="3" t="s">
        <v>71</v>
      </c>
      <c r="N17" s="3" t="s">
        <v>43</v>
      </c>
      <c r="O17" s="3" t="s">
        <v>112</v>
      </c>
      <c r="P17" s="3" t="s">
        <v>53</v>
      </c>
      <c r="Q17" s="3" t="s">
        <v>43</v>
      </c>
      <c r="R17" s="3" t="s">
        <v>43</v>
      </c>
      <c r="S17" s="3">
        <v>5.0</v>
      </c>
      <c r="T17" s="3">
        <v>5.0</v>
      </c>
      <c r="U17" s="3">
        <v>5.0</v>
      </c>
      <c r="V17" s="3">
        <v>5.0</v>
      </c>
      <c r="W17" s="3">
        <v>4.0</v>
      </c>
      <c r="X17" s="3">
        <v>5.0</v>
      </c>
      <c r="Y17" s="3">
        <v>5.0</v>
      </c>
      <c r="Z17" s="3">
        <v>5.0</v>
      </c>
      <c r="AA17" s="3">
        <v>3.0</v>
      </c>
      <c r="AB17" s="3">
        <v>5.0</v>
      </c>
      <c r="AC17" s="3">
        <v>5.0</v>
      </c>
      <c r="AD17" s="3">
        <v>5.0</v>
      </c>
      <c r="AE17" s="3">
        <v>1.0</v>
      </c>
      <c r="AF17" s="3">
        <v>5.0</v>
      </c>
      <c r="AG17" s="3">
        <v>5.0</v>
      </c>
      <c r="AH17" s="3">
        <v>4.0</v>
      </c>
      <c r="AI17" s="3">
        <v>5.0</v>
      </c>
      <c r="AJ17" s="3">
        <v>4.0</v>
      </c>
    </row>
    <row r="18">
      <c r="A18" s="2">
        <v>45372.382951203705</v>
      </c>
      <c r="C18" s="3">
        <v>52.0</v>
      </c>
      <c r="D18" s="3" t="s">
        <v>44</v>
      </c>
      <c r="E18" s="3" t="s">
        <v>36</v>
      </c>
      <c r="F18" s="3" t="s">
        <v>37</v>
      </c>
      <c r="G18" s="3" t="s">
        <v>36</v>
      </c>
      <c r="H18" s="3" t="s">
        <v>113</v>
      </c>
      <c r="I18" s="3" t="s">
        <v>114</v>
      </c>
      <c r="J18" s="3" t="s">
        <v>115</v>
      </c>
      <c r="K18" s="3" t="s">
        <v>111</v>
      </c>
      <c r="L18" s="3" t="s">
        <v>37</v>
      </c>
      <c r="M18" s="3" t="s">
        <v>58</v>
      </c>
      <c r="N18" s="3" t="s">
        <v>92</v>
      </c>
      <c r="O18" s="3" t="s">
        <v>58</v>
      </c>
      <c r="P18" s="3" t="s">
        <v>53</v>
      </c>
      <c r="Q18" s="3" t="s">
        <v>53</v>
      </c>
      <c r="R18" s="3" t="s">
        <v>53</v>
      </c>
      <c r="S18" s="3">
        <v>5.0</v>
      </c>
      <c r="T18" s="3">
        <v>1.0</v>
      </c>
      <c r="U18" s="3">
        <v>5.0</v>
      </c>
      <c r="V18" s="3">
        <v>5.0</v>
      </c>
      <c r="W18" s="3">
        <v>5.0</v>
      </c>
      <c r="X18" s="3">
        <v>5.0</v>
      </c>
      <c r="Y18" s="3">
        <v>5.0</v>
      </c>
      <c r="Z18" s="3">
        <v>5.0</v>
      </c>
      <c r="AA18" s="3">
        <v>5.0</v>
      </c>
      <c r="AB18" s="3">
        <v>1.0</v>
      </c>
      <c r="AC18" s="3">
        <v>5.0</v>
      </c>
      <c r="AD18" s="3">
        <v>5.0</v>
      </c>
      <c r="AE18" s="3">
        <v>5.0</v>
      </c>
      <c r="AF18" s="3">
        <v>5.0</v>
      </c>
      <c r="AG18" s="3">
        <v>5.0</v>
      </c>
      <c r="AH18" s="3">
        <v>5.0</v>
      </c>
      <c r="AI18" s="3">
        <v>5.0</v>
      </c>
      <c r="AJ18" s="3">
        <v>5.0</v>
      </c>
    </row>
    <row r="19">
      <c r="A19" s="2">
        <v>45372.385660914355</v>
      </c>
      <c r="C19" s="3">
        <v>53.0</v>
      </c>
      <c r="D19" s="3" t="s">
        <v>35</v>
      </c>
      <c r="E19" s="3" t="s">
        <v>36</v>
      </c>
      <c r="F19" s="3" t="s">
        <v>37</v>
      </c>
      <c r="G19" s="3" t="s">
        <v>37</v>
      </c>
      <c r="H19" s="3" t="s">
        <v>116</v>
      </c>
      <c r="I19" s="3" t="s">
        <v>117</v>
      </c>
      <c r="J19" s="3" t="s">
        <v>118</v>
      </c>
      <c r="K19" s="3" t="s">
        <v>119</v>
      </c>
      <c r="L19" s="3" t="s">
        <v>37</v>
      </c>
      <c r="M19" s="3" t="s">
        <v>58</v>
      </c>
      <c r="N19" s="3" t="s">
        <v>58</v>
      </c>
      <c r="O19" s="3" t="s">
        <v>58</v>
      </c>
      <c r="P19" s="3" t="s">
        <v>53</v>
      </c>
      <c r="Q19" s="3" t="s">
        <v>43</v>
      </c>
      <c r="R19" s="3" t="s">
        <v>43</v>
      </c>
      <c r="S19" s="3">
        <v>5.0</v>
      </c>
      <c r="T19" s="3">
        <v>5.0</v>
      </c>
      <c r="U19" s="3">
        <v>5.0</v>
      </c>
      <c r="V19" s="3">
        <v>5.0</v>
      </c>
      <c r="W19" s="3">
        <v>5.0</v>
      </c>
      <c r="X19" s="3">
        <v>5.0</v>
      </c>
      <c r="Y19" s="3">
        <v>5.0</v>
      </c>
      <c r="Z19" s="3">
        <v>5.0</v>
      </c>
      <c r="AA19" s="3">
        <v>5.0</v>
      </c>
      <c r="AB19" s="3">
        <v>1.0</v>
      </c>
      <c r="AC19" s="3">
        <v>5.0</v>
      </c>
      <c r="AD19" s="3">
        <v>5.0</v>
      </c>
      <c r="AE19" s="3">
        <v>5.0</v>
      </c>
      <c r="AF19" s="3">
        <v>1.0</v>
      </c>
      <c r="AG19" s="3">
        <v>1.0</v>
      </c>
      <c r="AH19" s="3">
        <v>1.0</v>
      </c>
      <c r="AI19" s="3">
        <v>5.0</v>
      </c>
      <c r="AJ19" s="3">
        <v>1.0</v>
      </c>
    </row>
    <row r="20">
      <c r="A20" s="2">
        <v>45372.38814657407</v>
      </c>
      <c r="C20" s="3">
        <v>62.0</v>
      </c>
      <c r="D20" s="3" t="s">
        <v>35</v>
      </c>
      <c r="E20" s="3" t="s">
        <v>36</v>
      </c>
      <c r="F20" s="3" t="s">
        <v>37</v>
      </c>
      <c r="G20" s="3" t="s">
        <v>36</v>
      </c>
      <c r="H20" s="3" t="s">
        <v>120</v>
      </c>
      <c r="I20" s="3" t="s">
        <v>121</v>
      </c>
      <c r="J20" s="3" t="s">
        <v>122</v>
      </c>
      <c r="K20" s="3" t="s">
        <v>123</v>
      </c>
      <c r="L20" s="3" t="s">
        <v>37</v>
      </c>
      <c r="M20" s="3" t="s">
        <v>58</v>
      </c>
      <c r="N20" s="3" t="s">
        <v>92</v>
      </c>
      <c r="O20" s="3" t="s">
        <v>124</v>
      </c>
      <c r="P20" s="3" t="s">
        <v>53</v>
      </c>
      <c r="Q20" s="3" t="s">
        <v>43</v>
      </c>
      <c r="R20" s="3" t="s">
        <v>43</v>
      </c>
      <c r="S20" s="3">
        <v>5.0</v>
      </c>
      <c r="T20" s="3">
        <v>5.0</v>
      </c>
      <c r="U20" s="3">
        <v>5.0</v>
      </c>
      <c r="V20" s="3">
        <v>5.0</v>
      </c>
      <c r="W20" s="3">
        <v>5.0</v>
      </c>
      <c r="X20" s="3">
        <v>5.0</v>
      </c>
      <c r="Y20" s="3">
        <v>5.0</v>
      </c>
      <c r="Z20" s="3">
        <v>5.0</v>
      </c>
      <c r="AA20" s="3">
        <v>5.0</v>
      </c>
      <c r="AB20" s="3">
        <v>1.0</v>
      </c>
      <c r="AC20" s="3">
        <v>5.0</v>
      </c>
      <c r="AD20" s="3">
        <v>1.0</v>
      </c>
      <c r="AE20" s="3">
        <v>1.0</v>
      </c>
      <c r="AF20" s="3">
        <v>1.0</v>
      </c>
      <c r="AG20" s="3">
        <v>1.0</v>
      </c>
      <c r="AH20" s="3">
        <v>1.0</v>
      </c>
      <c r="AI20" s="3">
        <v>1.0</v>
      </c>
      <c r="AJ20" s="3">
        <v>1.0</v>
      </c>
    </row>
    <row r="21">
      <c r="A21" s="2">
        <v>45372.87551832176</v>
      </c>
      <c r="C21" s="3">
        <v>55.0</v>
      </c>
      <c r="D21" s="3" t="s">
        <v>93</v>
      </c>
      <c r="E21" s="3" t="s">
        <v>36</v>
      </c>
      <c r="F21" s="3" t="s">
        <v>36</v>
      </c>
      <c r="G21" s="3" t="s">
        <v>36</v>
      </c>
      <c r="H21" s="3" t="s">
        <v>125</v>
      </c>
      <c r="I21" s="3" t="s">
        <v>126</v>
      </c>
      <c r="J21" s="3" t="s">
        <v>56</v>
      </c>
      <c r="K21" s="3" t="s">
        <v>127</v>
      </c>
      <c r="L21" s="3" t="s">
        <v>36</v>
      </c>
      <c r="M21" s="3" t="s">
        <v>58</v>
      </c>
      <c r="N21" s="3" t="s">
        <v>53</v>
      </c>
      <c r="O21" s="3" t="s">
        <v>53</v>
      </c>
      <c r="P21" s="3" t="s">
        <v>53</v>
      </c>
      <c r="Q21" s="3" t="s">
        <v>43</v>
      </c>
      <c r="R21" s="3" t="s">
        <v>43</v>
      </c>
      <c r="S21" s="3">
        <v>5.0</v>
      </c>
      <c r="T21" s="3">
        <v>5.0</v>
      </c>
      <c r="U21" s="3">
        <v>5.0</v>
      </c>
      <c r="V21" s="3">
        <v>5.0</v>
      </c>
      <c r="W21" s="3">
        <v>5.0</v>
      </c>
      <c r="X21" s="3">
        <v>5.0</v>
      </c>
      <c r="Y21" s="3">
        <v>5.0</v>
      </c>
      <c r="Z21" s="3">
        <v>5.0</v>
      </c>
      <c r="AA21" s="3">
        <v>5.0</v>
      </c>
      <c r="AB21" s="3">
        <v>5.0</v>
      </c>
      <c r="AC21" s="3">
        <v>5.0</v>
      </c>
      <c r="AD21" s="3">
        <v>5.0</v>
      </c>
      <c r="AE21" s="3">
        <v>5.0</v>
      </c>
      <c r="AF21" s="3">
        <v>5.0</v>
      </c>
      <c r="AG21" s="3">
        <v>5.0</v>
      </c>
      <c r="AH21" s="3">
        <v>5.0</v>
      </c>
      <c r="AI21" s="3">
        <v>5.0</v>
      </c>
      <c r="AJ21" s="3">
        <v>5.0</v>
      </c>
    </row>
    <row r="22">
      <c r="A22" s="2">
        <v>45372.87793431713</v>
      </c>
      <c r="C22" s="3">
        <v>63.0</v>
      </c>
      <c r="D22" s="3" t="s">
        <v>44</v>
      </c>
      <c r="E22" s="3" t="s">
        <v>37</v>
      </c>
      <c r="F22" s="3" t="s">
        <v>37</v>
      </c>
      <c r="G22" s="3" t="s">
        <v>37</v>
      </c>
      <c r="H22" s="3" t="s">
        <v>116</v>
      </c>
      <c r="I22" s="3" t="s">
        <v>128</v>
      </c>
      <c r="J22" s="3" t="s">
        <v>129</v>
      </c>
      <c r="K22" s="3" t="s">
        <v>130</v>
      </c>
      <c r="L22" s="3" t="s">
        <v>37</v>
      </c>
      <c r="M22" s="3" t="s">
        <v>58</v>
      </c>
      <c r="N22" s="3" t="s">
        <v>43</v>
      </c>
      <c r="O22" s="3" t="s">
        <v>43</v>
      </c>
      <c r="P22" s="3" t="s">
        <v>53</v>
      </c>
      <c r="Q22" s="3" t="s">
        <v>43</v>
      </c>
      <c r="R22" s="3" t="s">
        <v>43</v>
      </c>
      <c r="S22" s="3">
        <v>5.0</v>
      </c>
      <c r="T22" s="3">
        <v>5.0</v>
      </c>
      <c r="U22" s="3">
        <v>5.0</v>
      </c>
      <c r="V22" s="3">
        <v>5.0</v>
      </c>
      <c r="W22" s="3">
        <v>5.0</v>
      </c>
      <c r="X22" s="3">
        <v>5.0</v>
      </c>
      <c r="Y22" s="3">
        <v>5.0</v>
      </c>
      <c r="Z22" s="3">
        <v>5.0</v>
      </c>
      <c r="AA22" s="3">
        <v>3.0</v>
      </c>
      <c r="AB22" s="3">
        <v>1.0</v>
      </c>
      <c r="AC22" s="3">
        <v>5.0</v>
      </c>
      <c r="AD22" s="3">
        <v>5.0</v>
      </c>
      <c r="AE22" s="3">
        <v>5.0</v>
      </c>
      <c r="AF22" s="3">
        <v>5.0</v>
      </c>
      <c r="AG22" s="3">
        <v>5.0</v>
      </c>
      <c r="AH22" s="3">
        <v>1.0</v>
      </c>
      <c r="AI22" s="3">
        <v>5.0</v>
      </c>
      <c r="AJ22" s="3">
        <v>1.0</v>
      </c>
    </row>
    <row r="23">
      <c r="A23" s="2">
        <v>45372.88650288194</v>
      </c>
      <c r="C23" s="3">
        <v>76.0</v>
      </c>
      <c r="D23" s="3" t="s">
        <v>35</v>
      </c>
      <c r="E23" s="3" t="s">
        <v>36</v>
      </c>
      <c r="F23" s="3" t="s">
        <v>37</v>
      </c>
      <c r="G23" s="3" t="s">
        <v>36</v>
      </c>
      <c r="H23" s="3" t="s">
        <v>131</v>
      </c>
      <c r="I23" s="3" t="s">
        <v>132</v>
      </c>
      <c r="J23" s="3" t="s">
        <v>133</v>
      </c>
      <c r="K23" s="3" t="s">
        <v>134</v>
      </c>
      <c r="L23" s="3" t="s">
        <v>37</v>
      </c>
      <c r="M23" s="3" t="s">
        <v>135</v>
      </c>
      <c r="N23" s="3" t="s">
        <v>43</v>
      </c>
      <c r="O23" s="3" t="s">
        <v>43</v>
      </c>
      <c r="P23" s="3" t="s">
        <v>43</v>
      </c>
      <c r="Q23" s="3" t="s">
        <v>53</v>
      </c>
      <c r="R23" s="3" t="s">
        <v>43</v>
      </c>
      <c r="S23" s="3">
        <v>5.0</v>
      </c>
      <c r="T23" s="3">
        <v>1.0</v>
      </c>
      <c r="U23" s="3">
        <v>1.0</v>
      </c>
      <c r="V23" s="3">
        <v>5.0</v>
      </c>
      <c r="W23" s="3">
        <v>5.0</v>
      </c>
      <c r="X23" s="3">
        <v>3.0</v>
      </c>
      <c r="Y23" s="3">
        <v>5.0</v>
      </c>
      <c r="Z23" s="3">
        <v>1.0</v>
      </c>
      <c r="AA23" s="3">
        <v>1.0</v>
      </c>
      <c r="AB23" s="3">
        <v>1.0</v>
      </c>
      <c r="AC23" s="3">
        <v>5.0</v>
      </c>
      <c r="AD23" s="3">
        <v>1.0</v>
      </c>
      <c r="AE23" s="3">
        <v>1.0</v>
      </c>
      <c r="AF23" s="3">
        <v>1.0</v>
      </c>
      <c r="AG23" s="3">
        <v>1.0</v>
      </c>
      <c r="AH23" s="3">
        <v>1.0</v>
      </c>
      <c r="AI23" s="3">
        <v>1.0</v>
      </c>
      <c r="AJ23" s="3">
        <v>1.0</v>
      </c>
    </row>
    <row r="24">
      <c r="A24" s="2">
        <v>45372.894389270834</v>
      </c>
      <c r="C24" s="3">
        <v>61.0</v>
      </c>
      <c r="D24" s="3" t="s">
        <v>35</v>
      </c>
      <c r="E24" s="3" t="s">
        <v>36</v>
      </c>
      <c r="F24" s="3" t="s">
        <v>36</v>
      </c>
      <c r="G24" s="3" t="s">
        <v>36</v>
      </c>
      <c r="H24" s="3" t="s">
        <v>136</v>
      </c>
      <c r="I24" s="3" t="s">
        <v>137</v>
      </c>
      <c r="J24" s="3" t="s">
        <v>138</v>
      </c>
      <c r="K24" s="3" t="s">
        <v>139</v>
      </c>
      <c r="L24" s="3" t="s">
        <v>36</v>
      </c>
      <c r="M24" s="3" t="s">
        <v>58</v>
      </c>
      <c r="N24" s="3" t="s">
        <v>43</v>
      </c>
      <c r="O24" s="3" t="s">
        <v>43</v>
      </c>
      <c r="P24" s="3" t="s">
        <v>53</v>
      </c>
      <c r="Q24" s="3" t="s">
        <v>43</v>
      </c>
      <c r="R24" s="3" t="s">
        <v>43</v>
      </c>
      <c r="S24" s="3">
        <v>5.0</v>
      </c>
      <c r="T24" s="3">
        <v>5.0</v>
      </c>
      <c r="U24" s="3">
        <v>5.0</v>
      </c>
      <c r="V24" s="3">
        <v>5.0</v>
      </c>
      <c r="W24" s="3">
        <v>5.0</v>
      </c>
      <c r="X24" s="3">
        <v>5.0</v>
      </c>
      <c r="Y24" s="3">
        <v>1.0</v>
      </c>
      <c r="Z24" s="3">
        <v>1.0</v>
      </c>
      <c r="AA24" s="3">
        <v>5.0</v>
      </c>
      <c r="AB24" s="3">
        <v>1.0</v>
      </c>
      <c r="AC24" s="3">
        <v>5.0</v>
      </c>
      <c r="AD24" s="3">
        <v>1.0</v>
      </c>
      <c r="AE24" s="3">
        <v>1.0</v>
      </c>
      <c r="AF24" s="3">
        <v>1.0</v>
      </c>
      <c r="AG24" s="3">
        <v>1.0</v>
      </c>
      <c r="AH24" s="3">
        <v>1.0</v>
      </c>
      <c r="AI24" s="3">
        <v>1.0</v>
      </c>
      <c r="AJ24" s="3">
        <v>1.0</v>
      </c>
    </row>
    <row r="25">
      <c r="A25" s="2">
        <v>45372.89818240741</v>
      </c>
      <c r="C25" s="3">
        <v>67.0</v>
      </c>
      <c r="D25" s="3" t="s">
        <v>44</v>
      </c>
      <c r="E25" s="3" t="s">
        <v>36</v>
      </c>
      <c r="F25" s="3" t="s">
        <v>37</v>
      </c>
      <c r="G25" s="3" t="s">
        <v>36</v>
      </c>
      <c r="H25" s="3" t="s">
        <v>140</v>
      </c>
      <c r="I25" s="3" t="s">
        <v>141</v>
      </c>
      <c r="J25" s="3" t="s">
        <v>142</v>
      </c>
      <c r="K25" s="3" t="s">
        <v>143</v>
      </c>
      <c r="L25" s="3" t="s">
        <v>37</v>
      </c>
      <c r="M25" s="3" t="s">
        <v>72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43</v>
      </c>
      <c r="S25" s="3">
        <v>5.0</v>
      </c>
      <c r="T25" s="3">
        <v>5.0</v>
      </c>
      <c r="U25" s="3">
        <v>5.0</v>
      </c>
      <c r="V25" s="3">
        <v>5.0</v>
      </c>
      <c r="W25" s="3">
        <v>5.0</v>
      </c>
      <c r="X25" s="3">
        <v>5.0</v>
      </c>
      <c r="Y25" s="3">
        <v>1.0</v>
      </c>
      <c r="Z25" s="3">
        <v>5.0</v>
      </c>
      <c r="AA25" s="3">
        <v>5.0</v>
      </c>
      <c r="AB25" s="3">
        <v>1.0</v>
      </c>
      <c r="AC25" s="3">
        <v>3.0</v>
      </c>
      <c r="AD25" s="3">
        <v>1.0</v>
      </c>
      <c r="AE25" s="3">
        <v>1.0</v>
      </c>
      <c r="AF25" s="3">
        <v>1.0</v>
      </c>
      <c r="AG25" s="3">
        <v>4.0</v>
      </c>
      <c r="AH25" s="3">
        <v>1.0</v>
      </c>
      <c r="AI25" s="3">
        <v>4.0</v>
      </c>
      <c r="AJ25" s="3">
        <v>3.0</v>
      </c>
    </row>
    <row r="26">
      <c r="A26" s="2">
        <v>45372.9004774537</v>
      </c>
      <c r="C26" s="3">
        <v>62.0</v>
      </c>
      <c r="D26" s="3" t="s">
        <v>44</v>
      </c>
      <c r="E26" s="3" t="s">
        <v>36</v>
      </c>
      <c r="F26" s="3" t="s">
        <v>36</v>
      </c>
      <c r="G26" s="3" t="s">
        <v>37</v>
      </c>
      <c r="H26" s="3" t="s">
        <v>125</v>
      </c>
      <c r="I26" s="3" t="s">
        <v>144</v>
      </c>
      <c r="J26" s="3" t="s">
        <v>145</v>
      </c>
      <c r="K26" s="3" t="s">
        <v>146</v>
      </c>
      <c r="L26" s="3" t="s">
        <v>37</v>
      </c>
      <c r="M26" s="3" t="s">
        <v>58</v>
      </c>
      <c r="N26" s="3" t="s">
        <v>107</v>
      </c>
      <c r="O26" s="3" t="s">
        <v>58</v>
      </c>
      <c r="P26" s="3" t="s">
        <v>53</v>
      </c>
      <c r="Q26" s="3" t="s">
        <v>43</v>
      </c>
      <c r="R26" s="3" t="s">
        <v>43</v>
      </c>
      <c r="S26" s="3">
        <v>5.0</v>
      </c>
      <c r="T26" s="3">
        <v>5.0</v>
      </c>
      <c r="U26" s="3">
        <v>5.0</v>
      </c>
      <c r="V26" s="3">
        <v>5.0</v>
      </c>
      <c r="W26" s="3">
        <v>5.0</v>
      </c>
      <c r="X26" s="3">
        <v>5.0</v>
      </c>
      <c r="Y26" s="3">
        <v>5.0</v>
      </c>
      <c r="Z26" s="3">
        <v>5.0</v>
      </c>
      <c r="AA26" s="3">
        <v>5.0</v>
      </c>
      <c r="AB26" s="3">
        <v>5.0</v>
      </c>
      <c r="AC26" s="3">
        <v>5.0</v>
      </c>
      <c r="AD26" s="3">
        <v>5.0</v>
      </c>
      <c r="AE26" s="3">
        <v>5.0</v>
      </c>
      <c r="AF26" s="3">
        <v>5.0</v>
      </c>
      <c r="AG26" s="3">
        <v>5.0</v>
      </c>
      <c r="AH26" s="3">
        <v>1.0</v>
      </c>
      <c r="AI26" s="3">
        <v>5.0</v>
      </c>
      <c r="AJ26" s="3">
        <v>5.0</v>
      </c>
    </row>
    <row r="27">
      <c r="A27" s="2">
        <v>45372.903490173616</v>
      </c>
      <c r="C27" s="3">
        <v>59.0</v>
      </c>
      <c r="D27" s="3" t="s">
        <v>44</v>
      </c>
      <c r="E27" s="3" t="s">
        <v>36</v>
      </c>
      <c r="F27" s="3" t="s">
        <v>37</v>
      </c>
      <c r="G27" s="3" t="s">
        <v>37</v>
      </c>
      <c r="H27" s="3" t="s">
        <v>116</v>
      </c>
      <c r="I27" s="3" t="s">
        <v>147</v>
      </c>
      <c r="J27" s="3" t="s">
        <v>148</v>
      </c>
      <c r="K27" s="3" t="s">
        <v>149</v>
      </c>
      <c r="L27" s="3" t="s">
        <v>37</v>
      </c>
      <c r="M27" s="3" t="s">
        <v>58</v>
      </c>
      <c r="N27" s="3" t="s">
        <v>58</v>
      </c>
      <c r="O27" s="3" t="s">
        <v>58</v>
      </c>
      <c r="P27" s="3" t="s">
        <v>53</v>
      </c>
      <c r="Q27" s="3" t="s">
        <v>53</v>
      </c>
      <c r="R27" s="3" t="s">
        <v>53</v>
      </c>
      <c r="S27" s="3">
        <v>5.0</v>
      </c>
      <c r="T27" s="3">
        <v>5.0</v>
      </c>
      <c r="U27" s="3">
        <v>5.0</v>
      </c>
      <c r="V27" s="3">
        <v>5.0</v>
      </c>
      <c r="W27" s="3">
        <v>5.0</v>
      </c>
      <c r="X27" s="3">
        <v>5.0</v>
      </c>
      <c r="Y27" s="3">
        <v>5.0</v>
      </c>
      <c r="Z27" s="3">
        <v>1.0</v>
      </c>
      <c r="AA27" s="3">
        <v>5.0</v>
      </c>
      <c r="AB27" s="3">
        <v>1.0</v>
      </c>
      <c r="AC27" s="3">
        <v>5.0</v>
      </c>
      <c r="AD27" s="3">
        <v>1.0</v>
      </c>
      <c r="AE27" s="3">
        <v>1.0</v>
      </c>
      <c r="AF27" s="3">
        <v>1.0</v>
      </c>
      <c r="AG27" s="3">
        <v>1.0</v>
      </c>
      <c r="AH27" s="3">
        <v>1.0</v>
      </c>
      <c r="AI27" s="3">
        <v>1.0</v>
      </c>
      <c r="AJ27" s="3">
        <v>1.0</v>
      </c>
    </row>
    <row r="28">
      <c r="A28" s="2">
        <v>45373.79510471065</v>
      </c>
      <c r="C28" s="3">
        <v>60.0</v>
      </c>
      <c r="D28" s="3" t="s">
        <v>44</v>
      </c>
      <c r="E28" s="3" t="s">
        <v>37</v>
      </c>
      <c r="F28" s="3" t="s">
        <v>37</v>
      </c>
      <c r="G28" s="3" t="s">
        <v>37</v>
      </c>
      <c r="H28" s="3" t="s">
        <v>150</v>
      </c>
      <c r="I28" s="3" t="s">
        <v>151</v>
      </c>
      <c r="J28" s="3" t="s">
        <v>152</v>
      </c>
      <c r="K28" s="3" t="s">
        <v>153</v>
      </c>
      <c r="L28" s="3" t="s">
        <v>37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43</v>
      </c>
      <c r="S28" s="3">
        <v>5.0</v>
      </c>
      <c r="T28" s="3">
        <v>5.0</v>
      </c>
      <c r="U28" s="3">
        <v>1.0</v>
      </c>
      <c r="V28" s="3">
        <v>5.0</v>
      </c>
      <c r="W28" s="3">
        <v>1.0</v>
      </c>
      <c r="X28" s="3">
        <v>1.0</v>
      </c>
      <c r="Y28" s="3">
        <v>1.0</v>
      </c>
      <c r="Z28" s="3">
        <v>1.0</v>
      </c>
      <c r="AA28" s="3">
        <v>1.0</v>
      </c>
      <c r="AB28" s="3">
        <v>1.0</v>
      </c>
      <c r="AC28" s="3">
        <v>1.0</v>
      </c>
      <c r="AD28" s="3">
        <v>1.0</v>
      </c>
      <c r="AE28" s="3">
        <v>1.0</v>
      </c>
      <c r="AF28" s="3">
        <v>1.0</v>
      </c>
      <c r="AG28" s="3">
        <v>1.0</v>
      </c>
      <c r="AH28" s="3">
        <v>1.0</v>
      </c>
      <c r="AI28" s="3">
        <v>1.0</v>
      </c>
      <c r="AJ28" s="3">
        <v>1.0</v>
      </c>
    </row>
    <row r="29">
      <c r="A29" s="2">
        <v>45373.79829502315</v>
      </c>
      <c r="C29" s="3">
        <v>53.0</v>
      </c>
      <c r="D29" s="3" t="s">
        <v>44</v>
      </c>
      <c r="E29" s="3" t="s">
        <v>36</v>
      </c>
      <c r="F29" s="3" t="s">
        <v>37</v>
      </c>
      <c r="G29" s="3" t="s">
        <v>37</v>
      </c>
      <c r="H29" s="3" t="s">
        <v>154</v>
      </c>
      <c r="I29" s="3" t="s">
        <v>155</v>
      </c>
      <c r="J29" s="3" t="s">
        <v>156</v>
      </c>
      <c r="K29" s="3" t="s">
        <v>157</v>
      </c>
      <c r="L29" s="3" t="s">
        <v>37</v>
      </c>
      <c r="M29" s="3" t="s">
        <v>58</v>
      </c>
      <c r="N29" s="3" t="s">
        <v>72</v>
      </c>
      <c r="O29" s="3" t="s">
        <v>72</v>
      </c>
      <c r="P29" s="3" t="s">
        <v>92</v>
      </c>
      <c r="Q29" s="3" t="s">
        <v>92</v>
      </c>
      <c r="R29" s="3" t="s">
        <v>92</v>
      </c>
      <c r="S29" s="3">
        <v>5.0</v>
      </c>
      <c r="T29" s="3">
        <v>5.0</v>
      </c>
      <c r="U29" s="3">
        <v>5.0</v>
      </c>
      <c r="V29" s="3">
        <v>5.0</v>
      </c>
      <c r="W29" s="3">
        <v>5.0</v>
      </c>
      <c r="X29" s="3">
        <v>5.0</v>
      </c>
      <c r="Y29" s="3">
        <v>4.0</v>
      </c>
      <c r="Z29" s="3">
        <v>5.0</v>
      </c>
      <c r="AA29" s="3">
        <v>1.0</v>
      </c>
      <c r="AB29" s="3">
        <v>1.0</v>
      </c>
      <c r="AC29" s="3">
        <v>5.0</v>
      </c>
      <c r="AD29" s="3">
        <v>5.0</v>
      </c>
      <c r="AE29" s="3">
        <v>1.0</v>
      </c>
      <c r="AF29" s="3">
        <v>4.0</v>
      </c>
      <c r="AG29" s="3">
        <v>1.0</v>
      </c>
      <c r="AH29" s="3">
        <v>1.0</v>
      </c>
      <c r="AI29" s="3">
        <v>5.0</v>
      </c>
      <c r="AJ29" s="3">
        <v>5.0</v>
      </c>
    </row>
    <row r="30">
      <c r="A30" s="2">
        <v>45373.800523680555</v>
      </c>
      <c r="C30" s="3">
        <v>56.0</v>
      </c>
      <c r="D30" s="3" t="s">
        <v>35</v>
      </c>
      <c r="E30" s="3" t="s">
        <v>36</v>
      </c>
      <c r="F30" s="3" t="s">
        <v>37</v>
      </c>
      <c r="G30" s="3" t="s">
        <v>37</v>
      </c>
      <c r="H30" s="3" t="s">
        <v>150</v>
      </c>
      <c r="I30" s="3" t="s">
        <v>158</v>
      </c>
      <c r="J30" s="3" t="s">
        <v>159</v>
      </c>
      <c r="K30" s="3" t="s">
        <v>160</v>
      </c>
      <c r="L30" s="3" t="s">
        <v>37</v>
      </c>
      <c r="M30" s="3" t="s">
        <v>107</v>
      </c>
      <c r="N30" s="3" t="s">
        <v>43</v>
      </c>
      <c r="O30" s="3" t="s">
        <v>43</v>
      </c>
      <c r="P30" s="3" t="s">
        <v>53</v>
      </c>
      <c r="Q30" s="3" t="s">
        <v>53</v>
      </c>
      <c r="R30" s="3" t="s">
        <v>53</v>
      </c>
      <c r="S30" s="3">
        <v>5.0</v>
      </c>
      <c r="T30" s="3">
        <v>5.0</v>
      </c>
      <c r="U30" s="3">
        <v>1.0</v>
      </c>
      <c r="V30" s="3">
        <v>5.0</v>
      </c>
      <c r="W30" s="3">
        <v>3.0</v>
      </c>
      <c r="X30" s="3">
        <v>4.0</v>
      </c>
      <c r="Y30" s="3">
        <v>4.0</v>
      </c>
      <c r="Z30" s="3">
        <v>1.0</v>
      </c>
      <c r="AA30" s="3">
        <v>1.0</v>
      </c>
      <c r="AB30" s="3">
        <v>1.0</v>
      </c>
      <c r="AC30" s="3">
        <v>5.0</v>
      </c>
      <c r="AD30" s="3">
        <v>1.0</v>
      </c>
      <c r="AE30" s="3">
        <v>4.0</v>
      </c>
      <c r="AF30" s="3">
        <v>1.0</v>
      </c>
      <c r="AG30" s="3">
        <v>1.0</v>
      </c>
      <c r="AH30" s="3">
        <v>1.0</v>
      </c>
      <c r="AI30" s="3">
        <v>1.0</v>
      </c>
      <c r="AJ30" s="3">
        <v>1.0</v>
      </c>
    </row>
    <row r="31">
      <c r="A31" s="2">
        <v>45373.80277052084</v>
      </c>
      <c r="C31" s="3">
        <v>71.0</v>
      </c>
      <c r="D31" s="3" t="s">
        <v>44</v>
      </c>
      <c r="E31" s="3" t="s">
        <v>37</v>
      </c>
      <c r="F31" s="3" t="s">
        <v>37</v>
      </c>
      <c r="G31" s="3" t="s">
        <v>36</v>
      </c>
      <c r="H31" s="3" t="s">
        <v>116</v>
      </c>
      <c r="I31" s="3" t="s">
        <v>161</v>
      </c>
      <c r="J31" s="3" t="s">
        <v>162</v>
      </c>
      <c r="K31" s="3" t="s">
        <v>163</v>
      </c>
      <c r="L31" s="3" t="s">
        <v>37</v>
      </c>
      <c r="M31" s="3" t="s">
        <v>71</v>
      </c>
      <c r="N31" s="3" t="s">
        <v>92</v>
      </c>
      <c r="O31" s="3" t="s">
        <v>43</v>
      </c>
      <c r="P31" s="3" t="s">
        <v>43</v>
      </c>
      <c r="Q31" s="3" t="s">
        <v>53</v>
      </c>
      <c r="R31" s="3" t="s">
        <v>43</v>
      </c>
      <c r="S31" s="3">
        <v>5.0</v>
      </c>
      <c r="T31" s="3">
        <v>5.0</v>
      </c>
      <c r="U31" s="3">
        <v>5.0</v>
      </c>
      <c r="V31" s="3">
        <v>5.0</v>
      </c>
      <c r="W31" s="3">
        <v>5.0</v>
      </c>
      <c r="X31" s="3">
        <v>5.0</v>
      </c>
      <c r="Y31" s="3">
        <v>3.0</v>
      </c>
      <c r="Z31" s="3">
        <v>1.0</v>
      </c>
      <c r="AA31" s="3">
        <v>5.0</v>
      </c>
      <c r="AB31" s="3">
        <v>3.0</v>
      </c>
      <c r="AC31" s="3">
        <v>5.0</v>
      </c>
      <c r="AD31" s="3">
        <v>1.0</v>
      </c>
      <c r="AE31" s="3">
        <v>5.0</v>
      </c>
      <c r="AF31" s="3">
        <v>5.0</v>
      </c>
      <c r="AG31" s="3">
        <v>1.0</v>
      </c>
      <c r="AH31" s="3">
        <v>1.0</v>
      </c>
      <c r="AI31" s="3">
        <v>1.0</v>
      </c>
      <c r="AJ31" s="3">
        <v>3.0</v>
      </c>
    </row>
    <row r="32">
      <c r="A32" s="2">
        <v>45373.81116703704</v>
      </c>
      <c r="C32" s="3">
        <v>60.0</v>
      </c>
      <c r="D32" s="3" t="s">
        <v>35</v>
      </c>
      <c r="E32" s="3" t="s">
        <v>37</v>
      </c>
      <c r="F32" s="3" t="s">
        <v>37</v>
      </c>
      <c r="G32" s="3" t="s">
        <v>36</v>
      </c>
      <c r="H32" s="3" t="s">
        <v>164</v>
      </c>
      <c r="I32" s="3" t="s">
        <v>165</v>
      </c>
      <c r="J32" s="3" t="s">
        <v>166</v>
      </c>
      <c r="K32" s="3" t="s">
        <v>167</v>
      </c>
      <c r="L32" s="3" t="s">
        <v>37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43</v>
      </c>
      <c r="S32" s="3">
        <v>5.0</v>
      </c>
      <c r="T32" s="3">
        <v>1.0</v>
      </c>
      <c r="U32" s="3">
        <v>1.0</v>
      </c>
      <c r="V32" s="3">
        <v>1.0</v>
      </c>
      <c r="W32" s="3">
        <v>1.0</v>
      </c>
      <c r="X32" s="3">
        <v>1.0</v>
      </c>
      <c r="Y32" s="3">
        <v>3.0</v>
      </c>
      <c r="Z32" s="3">
        <v>1.0</v>
      </c>
      <c r="AA32" s="3">
        <v>1.0</v>
      </c>
      <c r="AB32" s="3">
        <v>1.0</v>
      </c>
      <c r="AC32" s="3">
        <v>1.0</v>
      </c>
      <c r="AD32" s="3">
        <v>1.0</v>
      </c>
      <c r="AE32" s="3">
        <v>2.0</v>
      </c>
      <c r="AF32" s="3">
        <v>1.0</v>
      </c>
      <c r="AG32" s="3">
        <v>1.0</v>
      </c>
      <c r="AH32" s="3">
        <v>1.0</v>
      </c>
      <c r="AI32" s="3">
        <v>1.0</v>
      </c>
      <c r="AJ32" s="3">
        <v>1.0</v>
      </c>
    </row>
    <row r="33">
      <c r="A33" s="2">
        <v>45373.817313541665</v>
      </c>
      <c r="C33" s="3">
        <v>55.0</v>
      </c>
      <c r="D33" s="3" t="s">
        <v>35</v>
      </c>
      <c r="E33" s="3" t="s">
        <v>36</v>
      </c>
      <c r="F33" s="3" t="s">
        <v>37</v>
      </c>
      <c r="G33" s="3" t="s">
        <v>36</v>
      </c>
      <c r="H33" s="3" t="s">
        <v>168</v>
      </c>
      <c r="I33" s="3" t="s">
        <v>169</v>
      </c>
      <c r="J33" s="3" t="s">
        <v>170</v>
      </c>
      <c r="K33" s="3" t="s">
        <v>171</v>
      </c>
      <c r="L33" s="3" t="s">
        <v>37</v>
      </c>
      <c r="M33" s="3" t="s">
        <v>107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43</v>
      </c>
      <c r="S33" s="3">
        <v>5.0</v>
      </c>
      <c r="T33" s="3">
        <v>1.0</v>
      </c>
      <c r="U33" s="3">
        <v>1.0</v>
      </c>
      <c r="V33" s="3">
        <v>5.0</v>
      </c>
      <c r="W33" s="3">
        <v>5.0</v>
      </c>
      <c r="X33" s="3">
        <v>1.0</v>
      </c>
      <c r="Y33" s="3">
        <v>1.0</v>
      </c>
      <c r="Z33" s="3">
        <v>1.0</v>
      </c>
      <c r="AA33" s="3">
        <v>1.0</v>
      </c>
      <c r="AB33" s="3">
        <v>1.0</v>
      </c>
      <c r="AC33" s="3">
        <v>4.0</v>
      </c>
      <c r="AD33" s="3">
        <v>1.0</v>
      </c>
      <c r="AE33" s="3">
        <v>5.0</v>
      </c>
      <c r="AF33" s="3">
        <v>1.0</v>
      </c>
      <c r="AG33" s="3">
        <v>1.0</v>
      </c>
      <c r="AH33" s="3">
        <v>1.0</v>
      </c>
      <c r="AI33" s="3">
        <v>1.0</v>
      </c>
      <c r="AJ33" s="3">
        <v>1.0</v>
      </c>
    </row>
    <row r="36">
      <c r="D36" s="3" t="s">
        <v>36</v>
      </c>
      <c r="E36" s="4">
        <f>COUNTIF(E2:E33,"Sim")</f>
        <v>28</v>
      </c>
    </row>
    <row r="37">
      <c r="D37" s="3" t="s">
        <v>37</v>
      </c>
      <c r="E37" s="4">
        <f>COUNTIF(E2:E33,"Não")</f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 t="s">
        <v>172</v>
      </c>
      <c r="C1" s="5" t="s">
        <v>173</v>
      </c>
      <c r="D1" s="5" t="s">
        <v>174</v>
      </c>
      <c r="E1" s="5" t="s">
        <v>175</v>
      </c>
      <c r="F1" s="5" t="s">
        <v>176</v>
      </c>
      <c r="G1" s="5" t="s">
        <v>177</v>
      </c>
      <c r="H1" s="5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P1" s="5" t="s">
        <v>186</v>
      </c>
      <c r="Q1" s="5" t="s">
        <v>187</v>
      </c>
      <c r="R1" s="5" t="s">
        <v>188</v>
      </c>
      <c r="S1" s="5" t="s">
        <v>189</v>
      </c>
      <c r="T1" s="3" t="s">
        <v>190</v>
      </c>
    </row>
    <row r="2">
      <c r="A2" s="3"/>
      <c r="B2" s="3">
        <v>5.0</v>
      </c>
      <c r="C2" s="3">
        <v>1.0</v>
      </c>
      <c r="D2" s="3">
        <v>1.0</v>
      </c>
      <c r="E2" s="3">
        <v>4.0</v>
      </c>
      <c r="F2" s="3">
        <v>1.0</v>
      </c>
      <c r="G2" s="3">
        <v>1.0</v>
      </c>
      <c r="H2" s="3">
        <v>1.0</v>
      </c>
      <c r="I2" s="3">
        <v>1.0</v>
      </c>
      <c r="J2" s="3">
        <v>3.0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3">
        <v>1.0</v>
      </c>
      <c r="S2" s="3">
        <v>1.0</v>
      </c>
      <c r="T2" s="4">
        <f t="shared" ref="T2:T33" si="1">MODE(B2:S2)</f>
        <v>1</v>
      </c>
    </row>
    <row r="3">
      <c r="A3" s="3"/>
      <c r="B3" s="3">
        <v>5.0</v>
      </c>
      <c r="C3" s="3">
        <v>5.0</v>
      </c>
      <c r="D3" s="3">
        <v>1.0</v>
      </c>
      <c r="E3" s="3">
        <v>4.0</v>
      </c>
      <c r="F3" s="3">
        <v>4.0</v>
      </c>
      <c r="G3" s="3">
        <v>1.0</v>
      </c>
      <c r="H3" s="3">
        <v>2.0</v>
      </c>
      <c r="I3" s="3">
        <v>1.0</v>
      </c>
      <c r="J3" s="3">
        <v>5.0</v>
      </c>
      <c r="K3" s="3">
        <v>1.0</v>
      </c>
      <c r="L3" s="3">
        <v>4.0</v>
      </c>
      <c r="M3" s="3">
        <v>1.0</v>
      </c>
      <c r="N3" s="3">
        <v>5.0</v>
      </c>
      <c r="O3" s="3">
        <v>1.0</v>
      </c>
      <c r="P3" s="3">
        <v>1.0</v>
      </c>
      <c r="Q3" s="3">
        <v>1.0</v>
      </c>
      <c r="R3" s="3">
        <v>1.0</v>
      </c>
      <c r="S3" s="3">
        <v>1.0</v>
      </c>
      <c r="T3" s="4">
        <f t="shared" si="1"/>
        <v>1</v>
      </c>
    </row>
    <row r="4">
      <c r="A4" s="3"/>
      <c r="B4" s="3">
        <v>4.0</v>
      </c>
      <c r="C4" s="3">
        <v>1.0</v>
      </c>
      <c r="D4" s="3">
        <v>1.0</v>
      </c>
      <c r="E4" s="3">
        <v>5.0</v>
      </c>
      <c r="F4" s="3">
        <v>1.0</v>
      </c>
      <c r="G4" s="3">
        <v>1.0</v>
      </c>
      <c r="H4" s="3">
        <v>1.0</v>
      </c>
      <c r="I4" s="3">
        <v>1.0</v>
      </c>
      <c r="J4" s="3">
        <v>1.0</v>
      </c>
      <c r="K4" s="3">
        <v>1.0</v>
      </c>
      <c r="L4" s="3">
        <v>1.0</v>
      </c>
      <c r="M4" s="3">
        <v>1.0</v>
      </c>
      <c r="N4" s="3">
        <v>1.0</v>
      </c>
      <c r="O4" s="3">
        <v>1.0</v>
      </c>
      <c r="P4" s="3">
        <v>1.0</v>
      </c>
      <c r="Q4" s="3">
        <v>1.0</v>
      </c>
      <c r="R4" s="3">
        <v>1.0</v>
      </c>
      <c r="S4" s="3">
        <v>1.0</v>
      </c>
      <c r="T4" s="4">
        <f t="shared" si="1"/>
        <v>1</v>
      </c>
    </row>
    <row r="5">
      <c r="A5" s="3"/>
      <c r="B5" s="3">
        <v>5.0</v>
      </c>
      <c r="C5" s="3">
        <v>5.0</v>
      </c>
      <c r="D5" s="3">
        <v>1.0</v>
      </c>
      <c r="E5" s="3">
        <v>5.0</v>
      </c>
      <c r="F5" s="3">
        <v>5.0</v>
      </c>
      <c r="G5" s="3">
        <v>1.0</v>
      </c>
      <c r="H5" s="3">
        <v>1.0</v>
      </c>
      <c r="I5" s="3">
        <v>1.0</v>
      </c>
      <c r="J5" s="3">
        <v>1.0</v>
      </c>
      <c r="K5" s="3">
        <v>1.0</v>
      </c>
      <c r="L5" s="3">
        <v>5.0</v>
      </c>
      <c r="M5" s="3">
        <v>1.0</v>
      </c>
      <c r="N5" s="3">
        <v>1.0</v>
      </c>
      <c r="O5" s="3">
        <v>1.0</v>
      </c>
      <c r="P5" s="3">
        <v>1.0</v>
      </c>
      <c r="Q5" s="3">
        <v>1.0</v>
      </c>
      <c r="R5" s="3">
        <v>1.0</v>
      </c>
      <c r="S5" s="3">
        <v>1.0</v>
      </c>
      <c r="T5" s="4">
        <f t="shared" si="1"/>
        <v>1</v>
      </c>
    </row>
    <row r="6">
      <c r="A6" s="3"/>
      <c r="B6" s="3">
        <v>5.0</v>
      </c>
      <c r="C6" s="3">
        <v>1.0</v>
      </c>
      <c r="D6" s="3">
        <v>3.0</v>
      </c>
      <c r="E6" s="3">
        <v>5.0</v>
      </c>
      <c r="F6" s="3">
        <v>2.0</v>
      </c>
      <c r="G6" s="3">
        <v>4.0</v>
      </c>
      <c r="H6" s="3">
        <v>1.0</v>
      </c>
      <c r="I6" s="3">
        <v>1.0</v>
      </c>
      <c r="J6" s="3">
        <v>2.0</v>
      </c>
      <c r="K6" s="3">
        <v>1.0</v>
      </c>
      <c r="L6" s="3">
        <v>1.0</v>
      </c>
      <c r="M6" s="3">
        <v>1.0</v>
      </c>
      <c r="N6" s="3">
        <v>1.0</v>
      </c>
      <c r="O6" s="3">
        <v>1.0</v>
      </c>
      <c r="P6" s="3">
        <v>1.0</v>
      </c>
      <c r="Q6" s="3">
        <v>1.0</v>
      </c>
      <c r="R6" s="3">
        <v>1.0</v>
      </c>
      <c r="S6" s="3">
        <v>1.0</v>
      </c>
      <c r="T6" s="4">
        <f t="shared" si="1"/>
        <v>1</v>
      </c>
    </row>
    <row r="7">
      <c r="A7" s="3"/>
      <c r="B7" s="3">
        <v>5.0</v>
      </c>
      <c r="C7" s="3">
        <v>5.0</v>
      </c>
      <c r="D7" s="3">
        <v>5.0</v>
      </c>
      <c r="E7" s="3">
        <v>5.0</v>
      </c>
      <c r="F7" s="3">
        <v>5.0</v>
      </c>
      <c r="G7" s="3">
        <v>5.0</v>
      </c>
      <c r="H7" s="3">
        <v>5.0</v>
      </c>
      <c r="I7" s="3">
        <v>5.0</v>
      </c>
      <c r="J7" s="3">
        <v>5.0</v>
      </c>
      <c r="K7" s="3">
        <v>1.0</v>
      </c>
      <c r="L7" s="3">
        <v>5.0</v>
      </c>
      <c r="M7" s="3">
        <v>2.0</v>
      </c>
      <c r="N7" s="3">
        <v>1.0</v>
      </c>
      <c r="O7" s="3">
        <v>1.0</v>
      </c>
      <c r="P7" s="3">
        <v>1.0</v>
      </c>
      <c r="Q7" s="3">
        <v>2.0</v>
      </c>
      <c r="R7" s="3">
        <v>1.0</v>
      </c>
      <c r="S7" s="3">
        <v>5.0</v>
      </c>
      <c r="T7" s="4">
        <f t="shared" si="1"/>
        <v>5</v>
      </c>
    </row>
    <row r="8">
      <c r="A8" s="3"/>
      <c r="B8" s="3">
        <v>5.0</v>
      </c>
      <c r="C8" s="3">
        <v>5.0</v>
      </c>
      <c r="D8" s="3">
        <v>5.0</v>
      </c>
      <c r="E8" s="3">
        <v>5.0</v>
      </c>
      <c r="F8" s="3">
        <v>5.0</v>
      </c>
      <c r="G8" s="3">
        <v>5.0</v>
      </c>
      <c r="H8" s="3">
        <v>5.0</v>
      </c>
      <c r="I8" s="3">
        <v>4.0</v>
      </c>
      <c r="J8" s="3">
        <v>5.0</v>
      </c>
      <c r="K8" s="3">
        <v>4.0</v>
      </c>
      <c r="L8" s="3">
        <v>5.0</v>
      </c>
      <c r="M8" s="3">
        <v>5.0</v>
      </c>
      <c r="N8" s="3">
        <v>5.0</v>
      </c>
      <c r="O8" s="3">
        <v>1.0</v>
      </c>
      <c r="P8" s="3">
        <v>5.0</v>
      </c>
      <c r="Q8" s="3">
        <v>2.0</v>
      </c>
      <c r="R8" s="3">
        <v>5.0</v>
      </c>
      <c r="S8" s="3">
        <v>5.0</v>
      </c>
      <c r="T8" s="4">
        <f t="shared" si="1"/>
        <v>5</v>
      </c>
    </row>
    <row r="9">
      <c r="A9" s="3"/>
      <c r="B9" s="3">
        <v>5.0</v>
      </c>
      <c r="C9" s="3">
        <v>5.0</v>
      </c>
      <c r="D9" s="3">
        <v>2.0</v>
      </c>
      <c r="E9" s="3">
        <v>5.0</v>
      </c>
      <c r="F9" s="3">
        <v>1.0</v>
      </c>
      <c r="G9" s="3">
        <v>5.0</v>
      </c>
      <c r="H9" s="3">
        <v>3.0</v>
      </c>
      <c r="I9" s="3">
        <v>5.0</v>
      </c>
      <c r="J9" s="3">
        <v>1.0</v>
      </c>
      <c r="K9" s="3">
        <v>1.0</v>
      </c>
      <c r="L9" s="3">
        <v>4.0</v>
      </c>
      <c r="M9" s="3">
        <v>1.0</v>
      </c>
      <c r="N9" s="3">
        <v>5.0</v>
      </c>
      <c r="O9" s="3">
        <v>1.0</v>
      </c>
      <c r="P9" s="3">
        <v>5.0</v>
      </c>
      <c r="Q9" s="3">
        <v>3.0</v>
      </c>
      <c r="R9" s="3">
        <v>1.0</v>
      </c>
      <c r="S9" s="3">
        <v>1.0</v>
      </c>
      <c r="T9" s="4">
        <f t="shared" si="1"/>
        <v>5</v>
      </c>
    </row>
    <row r="10">
      <c r="A10" s="3"/>
      <c r="B10" s="3">
        <v>5.0</v>
      </c>
      <c r="C10" s="3">
        <v>5.0</v>
      </c>
      <c r="D10" s="3">
        <v>4.0</v>
      </c>
      <c r="E10" s="3">
        <v>5.0</v>
      </c>
      <c r="F10" s="3">
        <v>5.0</v>
      </c>
      <c r="G10" s="3">
        <v>5.0</v>
      </c>
      <c r="H10" s="3">
        <v>4.0</v>
      </c>
      <c r="I10" s="3">
        <v>5.0</v>
      </c>
      <c r="J10" s="3">
        <v>5.0</v>
      </c>
      <c r="K10" s="3">
        <v>1.0</v>
      </c>
      <c r="L10" s="3">
        <v>5.0</v>
      </c>
      <c r="M10" s="3">
        <v>1.0</v>
      </c>
      <c r="N10" s="3">
        <v>5.0</v>
      </c>
      <c r="O10" s="3">
        <v>1.0</v>
      </c>
      <c r="P10" s="3">
        <v>5.0</v>
      </c>
      <c r="Q10" s="3">
        <v>1.0</v>
      </c>
      <c r="R10" s="3">
        <v>1.0</v>
      </c>
      <c r="S10" s="3">
        <v>5.0</v>
      </c>
      <c r="T10" s="4">
        <f t="shared" si="1"/>
        <v>5</v>
      </c>
    </row>
    <row r="11">
      <c r="A11" s="3"/>
      <c r="B11" s="3">
        <v>5.0</v>
      </c>
      <c r="C11" s="3">
        <v>5.0</v>
      </c>
      <c r="D11" s="3">
        <v>5.0</v>
      </c>
      <c r="E11" s="3">
        <v>5.0</v>
      </c>
      <c r="F11" s="3">
        <v>5.0</v>
      </c>
      <c r="G11" s="3">
        <v>1.0</v>
      </c>
      <c r="H11" s="3">
        <v>4.0</v>
      </c>
      <c r="I11" s="3">
        <v>5.0</v>
      </c>
      <c r="J11" s="3">
        <v>1.0</v>
      </c>
      <c r="K11" s="3">
        <v>1.0</v>
      </c>
      <c r="L11" s="3">
        <v>3.0</v>
      </c>
      <c r="M11" s="3">
        <v>1.0</v>
      </c>
      <c r="N11" s="3">
        <v>5.0</v>
      </c>
      <c r="O11" s="3">
        <v>1.0</v>
      </c>
      <c r="P11" s="3">
        <v>5.0</v>
      </c>
      <c r="Q11" s="3">
        <v>1.0</v>
      </c>
      <c r="R11" s="3">
        <v>4.0</v>
      </c>
      <c r="S11" s="3">
        <v>3.0</v>
      </c>
      <c r="T11" s="4">
        <f t="shared" si="1"/>
        <v>5</v>
      </c>
    </row>
    <row r="12">
      <c r="A12" s="3"/>
      <c r="B12" s="3">
        <v>5.0</v>
      </c>
      <c r="C12" s="3">
        <v>5.0</v>
      </c>
      <c r="D12" s="3">
        <v>5.0</v>
      </c>
      <c r="E12" s="3">
        <v>5.0</v>
      </c>
      <c r="F12" s="3">
        <v>5.0</v>
      </c>
      <c r="G12" s="3">
        <v>5.0</v>
      </c>
      <c r="H12" s="3">
        <v>3.0</v>
      </c>
      <c r="I12" s="3">
        <v>5.0</v>
      </c>
      <c r="J12" s="3">
        <v>5.0</v>
      </c>
      <c r="K12" s="3">
        <v>3.0</v>
      </c>
      <c r="L12" s="3">
        <v>4.0</v>
      </c>
      <c r="M12" s="3">
        <v>5.0</v>
      </c>
      <c r="N12" s="3">
        <v>5.0</v>
      </c>
      <c r="O12" s="3">
        <v>1.0</v>
      </c>
      <c r="P12" s="3">
        <v>5.0</v>
      </c>
      <c r="Q12" s="3">
        <v>1.0</v>
      </c>
      <c r="R12" s="3">
        <v>5.0</v>
      </c>
      <c r="S12" s="3">
        <v>5.0</v>
      </c>
      <c r="T12" s="4">
        <f t="shared" si="1"/>
        <v>5</v>
      </c>
    </row>
    <row r="13">
      <c r="A13" s="3"/>
      <c r="B13" s="3">
        <v>5.0</v>
      </c>
      <c r="C13" s="3">
        <v>5.0</v>
      </c>
      <c r="D13" s="3">
        <v>5.0</v>
      </c>
      <c r="E13" s="3">
        <v>5.0</v>
      </c>
      <c r="F13" s="3">
        <v>5.0</v>
      </c>
      <c r="G13" s="3">
        <v>5.0</v>
      </c>
      <c r="H13" s="3">
        <v>5.0</v>
      </c>
      <c r="I13" s="3">
        <v>5.0</v>
      </c>
      <c r="J13" s="3">
        <v>1.0</v>
      </c>
      <c r="K13" s="3">
        <v>1.0</v>
      </c>
      <c r="L13" s="3">
        <v>5.0</v>
      </c>
      <c r="M13" s="3">
        <v>5.0</v>
      </c>
      <c r="N13" s="3">
        <v>5.0</v>
      </c>
      <c r="O13" s="3">
        <v>5.0</v>
      </c>
      <c r="P13" s="3">
        <v>2.0</v>
      </c>
      <c r="Q13" s="3">
        <v>1.0</v>
      </c>
      <c r="R13" s="3">
        <v>5.0</v>
      </c>
      <c r="S13" s="3">
        <v>5.0</v>
      </c>
      <c r="T13" s="4">
        <f t="shared" si="1"/>
        <v>5</v>
      </c>
    </row>
    <row r="14">
      <c r="A14" s="3"/>
      <c r="B14" s="3">
        <v>5.0</v>
      </c>
      <c r="C14" s="3">
        <v>5.0</v>
      </c>
      <c r="D14" s="3">
        <v>5.0</v>
      </c>
      <c r="E14" s="3">
        <v>5.0</v>
      </c>
      <c r="F14" s="3">
        <v>5.0</v>
      </c>
      <c r="G14" s="3">
        <v>5.0</v>
      </c>
      <c r="H14" s="3">
        <v>5.0</v>
      </c>
      <c r="I14" s="3">
        <v>1.0</v>
      </c>
      <c r="J14" s="3">
        <v>1.0</v>
      </c>
      <c r="K14" s="3">
        <v>5.0</v>
      </c>
      <c r="L14" s="3">
        <v>5.0</v>
      </c>
      <c r="M14" s="3">
        <v>2.0</v>
      </c>
      <c r="N14" s="3">
        <v>1.0</v>
      </c>
      <c r="O14" s="3">
        <v>5.0</v>
      </c>
      <c r="P14" s="3">
        <v>4.0</v>
      </c>
      <c r="Q14" s="3">
        <v>4.0</v>
      </c>
      <c r="R14" s="3">
        <v>1.0</v>
      </c>
      <c r="S14" s="3">
        <v>5.0</v>
      </c>
      <c r="T14" s="4">
        <f t="shared" si="1"/>
        <v>5</v>
      </c>
    </row>
    <row r="15">
      <c r="A15" s="3"/>
      <c r="B15" s="3">
        <v>5.0</v>
      </c>
      <c r="C15" s="3">
        <v>5.0</v>
      </c>
      <c r="D15" s="3">
        <v>5.0</v>
      </c>
      <c r="E15" s="3">
        <v>5.0</v>
      </c>
      <c r="F15" s="3">
        <v>5.0</v>
      </c>
      <c r="G15" s="3">
        <v>5.0</v>
      </c>
      <c r="H15" s="3">
        <v>5.0</v>
      </c>
      <c r="I15" s="3">
        <v>5.0</v>
      </c>
      <c r="J15" s="3">
        <v>1.0</v>
      </c>
      <c r="K15" s="3">
        <v>1.0</v>
      </c>
      <c r="L15" s="3">
        <v>5.0</v>
      </c>
      <c r="M15" s="3">
        <v>1.0</v>
      </c>
      <c r="N15" s="3">
        <v>5.0</v>
      </c>
      <c r="O15" s="3">
        <v>1.0</v>
      </c>
      <c r="P15" s="3">
        <v>1.0</v>
      </c>
      <c r="Q15" s="3">
        <v>1.0</v>
      </c>
      <c r="R15" s="3">
        <v>1.0</v>
      </c>
      <c r="S15" s="3">
        <v>1.0</v>
      </c>
      <c r="T15" s="4">
        <f t="shared" si="1"/>
        <v>5</v>
      </c>
    </row>
    <row r="16">
      <c r="A16" s="3"/>
      <c r="B16" s="3">
        <v>5.0</v>
      </c>
      <c r="C16" s="3">
        <v>3.0</v>
      </c>
      <c r="D16" s="3">
        <v>2.0</v>
      </c>
      <c r="E16" s="3">
        <v>5.0</v>
      </c>
      <c r="F16" s="3">
        <v>4.0</v>
      </c>
      <c r="G16" s="3">
        <v>5.0</v>
      </c>
      <c r="H16" s="3">
        <v>2.0</v>
      </c>
      <c r="I16" s="3">
        <v>1.0</v>
      </c>
      <c r="J16" s="3">
        <v>1.0</v>
      </c>
      <c r="K16" s="3">
        <v>1.0</v>
      </c>
      <c r="L16" s="3">
        <v>5.0</v>
      </c>
      <c r="M16" s="3">
        <v>1.0</v>
      </c>
      <c r="N16" s="3">
        <v>2.0</v>
      </c>
      <c r="O16" s="3">
        <v>2.0</v>
      </c>
      <c r="P16" s="3">
        <v>1.0</v>
      </c>
      <c r="Q16" s="3">
        <v>3.0</v>
      </c>
      <c r="R16" s="3">
        <v>4.0</v>
      </c>
      <c r="S16" s="3">
        <v>4.0</v>
      </c>
      <c r="T16" s="4">
        <f t="shared" si="1"/>
        <v>1</v>
      </c>
    </row>
    <row r="17">
      <c r="A17" s="3"/>
      <c r="B17" s="3">
        <v>5.0</v>
      </c>
      <c r="C17" s="3">
        <v>5.0</v>
      </c>
      <c r="D17" s="3">
        <v>5.0</v>
      </c>
      <c r="E17" s="3">
        <v>5.0</v>
      </c>
      <c r="F17" s="3">
        <v>4.0</v>
      </c>
      <c r="G17" s="3">
        <v>5.0</v>
      </c>
      <c r="H17" s="3">
        <v>5.0</v>
      </c>
      <c r="I17" s="3">
        <v>5.0</v>
      </c>
      <c r="J17" s="3">
        <v>3.0</v>
      </c>
      <c r="K17" s="3">
        <v>5.0</v>
      </c>
      <c r="L17" s="3">
        <v>5.0</v>
      </c>
      <c r="M17" s="3">
        <v>5.0</v>
      </c>
      <c r="N17" s="3">
        <v>1.0</v>
      </c>
      <c r="O17" s="3">
        <v>5.0</v>
      </c>
      <c r="P17" s="3">
        <v>5.0</v>
      </c>
      <c r="Q17" s="3">
        <v>4.0</v>
      </c>
      <c r="R17" s="3">
        <v>5.0</v>
      </c>
      <c r="S17" s="3">
        <v>4.0</v>
      </c>
      <c r="T17" s="4">
        <f t="shared" si="1"/>
        <v>5</v>
      </c>
    </row>
    <row r="18">
      <c r="A18" s="3"/>
      <c r="B18" s="3">
        <v>5.0</v>
      </c>
      <c r="C18" s="3">
        <v>1.0</v>
      </c>
      <c r="D18" s="3">
        <v>5.0</v>
      </c>
      <c r="E18" s="3">
        <v>5.0</v>
      </c>
      <c r="F18" s="3">
        <v>5.0</v>
      </c>
      <c r="G18" s="3">
        <v>5.0</v>
      </c>
      <c r="H18" s="3">
        <v>5.0</v>
      </c>
      <c r="I18" s="3">
        <v>5.0</v>
      </c>
      <c r="J18" s="3">
        <v>5.0</v>
      </c>
      <c r="K18" s="3">
        <v>1.0</v>
      </c>
      <c r="L18" s="3">
        <v>5.0</v>
      </c>
      <c r="M18" s="3">
        <v>5.0</v>
      </c>
      <c r="N18" s="3">
        <v>5.0</v>
      </c>
      <c r="O18" s="3">
        <v>5.0</v>
      </c>
      <c r="P18" s="3">
        <v>5.0</v>
      </c>
      <c r="Q18" s="3">
        <v>5.0</v>
      </c>
      <c r="R18" s="3">
        <v>5.0</v>
      </c>
      <c r="S18" s="3">
        <v>5.0</v>
      </c>
      <c r="T18" s="4">
        <f t="shared" si="1"/>
        <v>5</v>
      </c>
    </row>
    <row r="19">
      <c r="A19" s="3"/>
      <c r="B19" s="3">
        <v>5.0</v>
      </c>
      <c r="C19" s="3">
        <v>5.0</v>
      </c>
      <c r="D19" s="3">
        <v>5.0</v>
      </c>
      <c r="E19" s="3">
        <v>5.0</v>
      </c>
      <c r="F19" s="3">
        <v>5.0</v>
      </c>
      <c r="G19" s="3">
        <v>5.0</v>
      </c>
      <c r="H19" s="3">
        <v>5.0</v>
      </c>
      <c r="I19" s="3">
        <v>5.0</v>
      </c>
      <c r="J19" s="3">
        <v>5.0</v>
      </c>
      <c r="K19" s="3">
        <v>1.0</v>
      </c>
      <c r="L19" s="3">
        <v>5.0</v>
      </c>
      <c r="M19" s="3">
        <v>5.0</v>
      </c>
      <c r="N19" s="3">
        <v>5.0</v>
      </c>
      <c r="O19" s="3">
        <v>1.0</v>
      </c>
      <c r="P19" s="3">
        <v>1.0</v>
      </c>
      <c r="Q19" s="3">
        <v>1.0</v>
      </c>
      <c r="R19" s="3">
        <v>5.0</v>
      </c>
      <c r="S19" s="3">
        <v>1.0</v>
      </c>
      <c r="T19" s="4">
        <f t="shared" si="1"/>
        <v>5</v>
      </c>
    </row>
    <row r="20">
      <c r="A20" s="3"/>
      <c r="B20" s="3">
        <v>5.0</v>
      </c>
      <c r="C20" s="3">
        <v>5.0</v>
      </c>
      <c r="D20" s="3">
        <v>5.0</v>
      </c>
      <c r="E20" s="3">
        <v>5.0</v>
      </c>
      <c r="F20" s="3">
        <v>5.0</v>
      </c>
      <c r="G20" s="3">
        <v>5.0</v>
      </c>
      <c r="H20" s="3">
        <v>5.0</v>
      </c>
      <c r="I20" s="3">
        <v>5.0</v>
      </c>
      <c r="J20" s="3">
        <v>5.0</v>
      </c>
      <c r="K20" s="3">
        <v>1.0</v>
      </c>
      <c r="L20" s="3">
        <v>5.0</v>
      </c>
      <c r="M20" s="3">
        <v>1.0</v>
      </c>
      <c r="N20" s="3">
        <v>1.0</v>
      </c>
      <c r="O20" s="3">
        <v>1.0</v>
      </c>
      <c r="P20" s="3">
        <v>1.0</v>
      </c>
      <c r="Q20" s="3">
        <v>1.0</v>
      </c>
      <c r="R20" s="3">
        <v>1.0</v>
      </c>
      <c r="S20" s="3">
        <v>1.0</v>
      </c>
      <c r="T20" s="4">
        <f t="shared" si="1"/>
        <v>5</v>
      </c>
    </row>
    <row r="21">
      <c r="A21" s="3"/>
      <c r="B21" s="3">
        <v>5.0</v>
      </c>
      <c r="C21" s="3">
        <v>5.0</v>
      </c>
      <c r="D21" s="3">
        <v>5.0</v>
      </c>
      <c r="E21" s="3">
        <v>5.0</v>
      </c>
      <c r="F21" s="3">
        <v>5.0</v>
      </c>
      <c r="G21" s="3">
        <v>5.0</v>
      </c>
      <c r="H21" s="3">
        <v>5.0</v>
      </c>
      <c r="I21" s="3">
        <v>5.0</v>
      </c>
      <c r="J21" s="3">
        <v>5.0</v>
      </c>
      <c r="K21" s="3">
        <v>5.0</v>
      </c>
      <c r="L21" s="3">
        <v>5.0</v>
      </c>
      <c r="M21" s="3">
        <v>5.0</v>
      </c>
      <c r="N21" s="3">
        <v>5.0</v>
      </c>
      <c r="O21" s="3">
        <v>5.0</v>
      </c>
      <c r="P21" s="3">
        <v>5.0</v>
      </c>
      <c r="Q21" s="3">
        <v>5.0</v>
      </c>
      <c r="R21" s="3">
        <v>5.0</v>
      </c>
      <c r="S21" s="3">
        <v>5.0</v>
      </c>
      <c r="T21" s="4">
        <f t="shared" si="1"/>
        <v>5</v>
      </c>
    </row>
    <row r="22">
      <c r="A22" s="3"/>
      <c r="B22" s="3">
        <v>5.0</v>
      </c>
      <c r="C22" s="3">
        <v>5.0</v>
      </c>
      <c r="D22" s="3">
        <v>5.0</v>
      </c>
      <c r="E22" s="3">
        <v>5.0</v>
      </c>
      <c r="F22" s="3">
        <v>5.0</v>
      </c>
      <c r="G22" s="3">
        <v>5.0</v>
      </c>
      <c r="H22" s="3">
        <v>5.0</v>
      </c>
      <c r="I22" s="3">
        <v>5.0</v>
      </c>
      <c r="J22" s="3">
        <v>3.0</v>
      </c>
      <c r="K22" s="3">
        <v>1.0</v>
      </c>
      <c r="L22" s="3">
        <v>5.0</v>
      </c>
      <c r="M22" s="3">
        <v>5.0</v>
      </c>
      <c r="N22" s="3">
        <v>5.0</v>
      </c>
      <c r="O22" s="3">
        <v>5.0</v>
      </c>
      <c r="P22" s="3">
        <v>5.0</v>
      </c>
      <c r="Q22" s="3">
        <v>1.0</v>
      </c>
      <c r="R22" s="3">
        <v>5.0</v>
      </c>
      <c r="S22" s="3">
        <v>1.0</v>
      </c>
      <c r="T22" s="4">
        <f t="shared" si="1"/>
        <v>5</v>
      </c>
    </row>
    <row r="23">
      <c r="A23" s="3"/>
      <c r="B23" s="3">
        <v>5.0</v>
      </c>
      <c r="C23" s="3">
        <v>1.0</v>
      </c>
      <c r="D23" s="3">
        <v>1.0</v>
      </c>
      <c r="E23" s="3">
        <v>5.0</v>
      </c>
      <c r="F23" s="3">
        <v>5.0</v>
      </c>
      <c r="G23" s="3">
        <v>3.0</v>
      </c>
      <c r="H23" s="3">
        <v>5.0</v>
      </c>
      <c r="I23" s="3">
        <v>1.0</v>
      </c>
      <c r="J23" s="3">
        <v>1.0</v>
      </c>
      <c r="K23" s="3">
        <v>1.0</v>
      </c>
      <c r="L23" s="3">
        <v>5.0</v>
      </c>
      <c r="M23" s="3">
        <v>1.0</v>
      </c>
      <c r="N23" s="3">
        <v>1.0</v>
      </c>
      <c r="O23" s="3">
        <v>1.0</v>
      </c>
      <c r="P23" s="3">
        <v>1.0</v>
      </c>
      <c r="Q23" s="3">
        <v>1.0</v>
      </c>
      <c r="R23" s="3">
        <v>1.0</v>
      </c>
      <c r="S23" s="3">
        <v>1.0</v>
      </c>
      <c r="T23" s="4">
        <f t="shared" si="1"/>
        <v>1</v>
      </c>
    </row>
    <row r="24">
      <c r="A24" s="3"/>
      <c r="B24" s="3">
        <v>5.0</v>
      </c>
      <c r="C24" s="3">
        <v>5.0</v>
      </c>
      <c r="D24" s="3">
        <v>5.0</v>
      </c>
      <c r="E24" s="3">
        <v>5.0</v>
      </c>
      <c r="F24" s="3">
        <v>5.0</v>
      </c>
      <c r="G24" s="3">
        <v>5.0</v>
      </c>
      <c r="H24" s="3">
        <v>1.0</v>
      </c>
      <c r="I24" s="3">
        <v>1.0</v>
      </c>
      <c r="J24" s="3">
        <v>5.0</v>
      </c>
      <c r="K24" s="3">
        <v>1.0</v>
      </c>
      <c r="L24" s="3">
        <v>5.0</v>
      </c>
      <c r="M24" s="3">
        <v>1.0</v>
      </c>
      <c r="N24" s="3">
        <v>1.0</v>
      </c>
      <c r="O24" s="3">
        <v>1.0</v>
      </c>
      <c r="P24" s="3">
        <v>1.0</v>
      </c>
      <c r="Q24" s="3">
        <v>1.0</v>
      </c>
      <c r="R24" s="3">
        <v>1.0</v>
      </c>
      <c r="S24" s="3">
        <v>1.0</v>
      </c>
      <c r="T24" s="4">
        <f t="shared" si="1"/>
        <v>1</v>
      </c>
    </row>
    <row r="25">
      <c r="A25" s="3"/>
      <c r="B25" s="3">
        <v>5.0</v>
      </c>
      <c r="C25" s="3">
        <v>5.0</v>
      </c>
      <c r="D25" s="3">
        <v>5.0</v>
      </c>
      <c r="E25" s="3">
        <v>5.0</v>
      </c>
      <c r="F25" s="3">
        <v>5.0</v>
      </c>
      <c r="G25" s="3">
        <v>5.0</v>
      </c>
      <c r="H25" s="3">
        <v>1.0</v>
      </c>
      <c r="I25" s="3">
        <v>5.0</v>
      </c>
      <c r="J25" s="3">
        <v>5.0</v>
      </c>
      <c r="K25" s="3">
        <v>1.0</v>
      </c>
      <c r="L25" s="3">
        <v>3.0</v>
      </c>
      <c r="M25" s="3">
        <v>1.0</v>
      </c>
      <c r="N25" s="3">
        <v>1.0</v>
      </c>
      <c r="O25" s="3">
        <v>1.0</v>
      </c>
      <c r="P25" s="3">
        <v>4.0</v>
      </c>
      <c r="Q25" s="3">
        <v>1.0</v>
      </c>
      <c r="R25" s="3">
        <v>4.0</v>
      </c>
      <c r="S25" s="3">
        <v>3.0</v>
      </c>
      <c r="T25" s="4">
        <f t="shared" si="1"/>
        <v>5</v>
      </c>
    </row>
    <row r="26">
      <c r="A26" s="3"/>
      <c r="B26" s="3">
        <v>5.0</v>
      </c>
      <c r="C26" s="3">
        <v>5.0</v>
      </c>
      <c r="D26" s="3">
        <v>5.0</v>
      </c>
      <c r="E26" s="3">
        <v>5.0</v>
      </c>
      <c r="F26" s="3">
        <v>5.0</v>
      </c>
      <c r="G26" s="3">
        <v>5.0</v>
      </c>
      <c r="H26" s="3">
        <v>5.0</v>
      </c>
      <c r="I26" s="3">
        <v>5.0</v>
      </c>
      <c r="J26" s="3">
        <v>5.0</v>
      </c>
      <c r="K26" s="3">
        <v>5.0</v>
      </c>
      <c r="L26" s="3">
        <v>5.0</v>
      </c>
      <c r="M26" s="3">
        <v>5.0</v>
      </c>
      <c r="N26" s="3">
        <v>5.0</v>
      </c>
      <c r="O26" s="3">
        <v>5.0</v>
      </c>
      <c r="P26" s="3">
        <v>5.0</v>
      </c>
      <c r="Q26" s="3">
        <v>1.0</v>
      </c>
      <c r="R26" s="3">
        <v>5.0</v>
      </c>
      <c r="S26" s="3">
        <v>5.0</v>
      </c>
      <c r="T26" s="4">
        <f t="shared" si="1"/>
        <v>5</v>
      </c>
    </row>
    <row r="27">
      <c r="A27" s="3"/>
      <c r="B27" s="3">
        <v>5.0</v>
      </c>
      <c r="C27" s="3">
        <v>5.0</v>
      </c>
      <c r="D27" s="3">
        <v>5.0</v>
      </c>
      <c r="E27" s="3">
        <v>5.0</v>
      </c>
      <c r="F27" s="3">
        <v>5.0</v>
      </c>
      <c r="G27" s="3">
        <v>5.0</v>
      </c>
      <c r="H27" s="3">
        <v>5.0</v>
      </c>
      <c r="I27" s="3">
        <v>1.0</v>
      </c>
      <c r="J27" s="3">
        <v>5.0</v>
      </c>
      <c r="K27" s="3">
        <v>1.0</v>
      </c>
      <c r="L27" s="3">
        <v>5.0</v>
      </c>
      <c r="M27" s="3">
        <v>1.0</v>
      </c>
      <c r="N27" s="3">
        <v>1.0</v>
      </c>
      <c r="O27" s="3">
        <v>1.0</v>
      </c>
      <c r="P27" s="3">
        <v>1.0</v>
      </c>
      <c r="Q27" s="3">
        <v>1.0</v>
      </c>
      <c r="R27" s="3">
        <v>1.0</v>
      </c>
      <c r="S27" s="3">
        <v>1.0</v>
      </c>
      <c r="T27" s="4">
        <f t="shared" si="1"/>
        <v>5</v>
      </c>
    </row>
    <row r="28">
      <c r="A28" s="3"/>
      <c r="B28" s="3">
        <v>5.0</v>
      </c>
      <c r="C28" s="3">
        <v>5.0</v>
      </c>
      <c r="D28" s="3">
        <v>1.0</v>
      </c>
      <c r="E28" s="3">
        <v>5.0</v>
      </c>
      <c r="F28" s="3">
        <v>1.0</v>
      </c>
      <c r="G28" s="3">
        <v>1.0</v>
      </c>
      <c r="H28" s="3">
        <v>1.0</v>
      </c>
      <c r="I28" s="3">
        <v>1.0</v>
      </c>
      <c r="J28" s="3">
        <v>1.0</v>
      </c>
      <c r="K28" s="3">
        <v>1.0</v>
      </c>
      <c r="L28" s="3">
        <v>1.0</v>
      </c>
      <c r="M28" s="3">
        <v>1.0</v>
      </c>
      <c r="N28" s="3">
        <v>1.0</v>
      </c>
      <c r="O28" s="3">
        <v>1.0</v>
      </c>
      <c r="P28" s="3">
        <v>1.0</v>
      </c>
      <c r="Q28" s="3">
        <v>1.0</v>
      </c>
      <c r="R28" s="3">
        <v>1.0</v>
      </c>
      <c r="S28" s="3">
        <v>1.0</v>
      </c>
      <c r="T28" s="4">
        <f t="shared" si="1"/>
        <v>1</v>
      </c>
    </row>
    <row r="29">
      <c r="A29" s="3"/>
      <c r="B29" s="3">
        <v>5.0</v>
      </c>
      <c r="C29" s="3">
        <v>5.0</v>
      </c>
      <c r="D29" s="3">
        <v>5.0</v>
      </c>
      <c r="E29" s="3">
        <v>5.0</v>
      </c>
      <c r="F29" s="3">
        <v>5.0</v>
      </c>
      <c r="G29" s="3">
        <v>5.0</v>
      </c>
      <c r="H29" s="3">
        <v>4.0</v>
      </c>
      <c r="I29" s="3">
        <v>5.0</v>
      </c>
      <c r="J29" s="3">
        <v>1.0</v>
      </c>
      <c r="K29" s="3">
        <v>1.0</v>
      </c>
      <c r="L29" s="3">
        <v>5.0</v>
      </c>
      <c r="M29" s="3">
        <v>5.0</v>
      </c>
      <c r="N29" s="3">
        <v>1.0</v>
      </c>
      <c r="O29" s="3">
        <v>4.0</v>
      </c>
      <c r="P29" s="3">
        <v>1.0</v>
      </c>
      <c r="Q29" s="3">
        <v>1.0</v>
      </c>
      <c r="R29" s="3">
        <v>5.0</v>
      </c>
      <c r="S29" s="3">
        <v>5.0</v>
      </c>
      <c r="T29" s="4">
        <f t="shared" si="1"/>
        <v>5</v>
      </c>
    </row>
    <row r="30">
      <c r="A30" s="3"/>
      <c r="B30" s="3">
        <v>5.0</v>
      </c>
      <c r="C30" s="3">
        <v>5.0</v>
      </c>
      <c r="D30" s="3">
        <v>1.0</v>
      </c>
      <c r="E30" s="3">
        <v>5.0</v>
      </c>
      <c r="F30" s="3">
        <v>3.0</v>
      </c>
      <c r="G30" s="3">
        <v>4.0</v>
      </c>
      <c r="H30" s="3">
        <v>4.0</v>
      </c>
      <c r="I30" s="3">
        <v>1.0</v>
      </c>
      <c r="J30" s="3">
        <v>1.0</v>
      </c>
      <c r="K30" s="3">
        <v>1.0</v>
      </c>
      <c r="L30" s="3">
        <v>5.0</v>
      </c>
      <c r="M30" s="3">
        <v>1.0</v>
      </c>
      <c r="N30" s="3">
        <v>4.0</v>
      </c>
      <c r="O30" s="3">
        <v>1.0</v>
      </c>
      <c r="P30" s="3">
        <v>1.0</v>
      </c>
      <c r="Q30" s="3">
        <v>1.0</v>
      </c>
      <c r="R30" s="3">
        <v>1.0</v>
      </c>
      <c r="S30" s="3">
        <v>1.0</v>
      </c>
      <c r="T30" s="4">
        <f t="shared" si="1"/>
        <v>1</v>
      </c>
    </row>
    <row r="31">
      <c r="A31" s="3"/>
      <c r="B31" s="3">
        <v>5.0</v>
      </c>
      <c r="C31" s="3">
        <v>5.0</v>
      </c>
      <c r="D31" s="3">
        <v>5.0</v>
      </c>
      <c r="E31" s="3">
        <v>5.0</v>
      </c>
      <c r="F31" s="3">
        <v>5.0</v>
      </c>
      <c r="G31" s="3">
        <v>5.0</v>
      </c>
      <c r="H31" s="3">
        <v>3.0</v>
      </c>
      <c r="I31" s="3">
        <v>1.0</v>
      </c>
      <c r="J31" s="3">
        <v>5.0</v>
      </c>
      <c r="K31" s="3">
        <v>3.0</v>
      </c>
      <c r="L31" s="3">
        <v>5.0</v>
      </c>
      <c r="M31" s="3">
        <v>1.0</v>
      </c>
      <c r="N31" s="3">
        <v>5.0</v>
      </c>
      <c r="O31" s="3">
        <v>5.0</v>
      </c>
      <c r="P31" s="3">
        <v>1.0</v>
      </c>
      <c r="Q31" s="3">
        <v>1.0</v>
      </c>
      <c r="R31" s="3">
        <v>1.0</v>
      </c>
      <c r="S31" s="3">
        <v>3.0</v>
      </c>
      <c r="T31" s="4">
        <f t="shared" si="1"/>
        <v>5</v>
      </c>
    </row>
    <row r="32">
      <c r="A32" s="3"/>
      <c r="B32" s="3">
        <v>5.0</v>
      </c>
      <c r="C32" s="3">
        <v>1.0</v>
      </c>
      <c r="D32" s="3">
        <v>1.0</v>
      </c>
      <c r="E32" s="3">
        <v>1.0</v>
      </c>
      <c r="F32" s="3">
        <v>1.0</v>
      </c>
      <c r="G32" s="3">
        <v>1.0</v>
      </c>
      <c r="H32" s="3">
        <v>3.0</v>
      </c>
      <c r="I32" s="3">
        <v>1.0</v>
      </c>
      <c r="J32" s="3">
        <v>1.0</v>
      </c>
      <c r="K32" s="3">
        <v>1.0</v>
      </c>
      <c r="L32" s="3">
        <v>1.0</v>
      </c>
      <c r="M32" s="3">
        <v>1.0</v>
      </c>
      <c r="N32" s="3">
        <v>2.0</v>
      </c>
      <c r="O32" s="3">
        <v>1.0</v>
      </c>
      <c r="P32" s="3">
        <v>1.0</v>
      </c>
      <c r="Q32" s="3">
        <v>1.0</v>
      </c>
      <c r="R32" s="3">
        <v>1.0</v>
      </c>
      <c r="S32" s="3">
        <v>1.0</v>
      </c>
      <c r="T32" s="4">
        <f t="shared" si="1"/>
        <v>1</v>
      </c>
    </row>
    <row r="33">
      <c r="A33" s="3"/>
      <c r="B33" s="3">
        <v>5.0</v>
      </c>
      <c r="C33" s="3">
        <v>1.0</v>
      </c>
      <c r="D33" s="3">
        <v>1.0</v>
      </c>
      <c r="E33" s="3">
        <v>5.0</v>
      </c>
      <c r="F33" s="3">
        <v>5.0</v>
      </c>
      <c r="G33" s="3">
        <v>1.0</v>
      </c>
      <c r="H33" s="3">
        <v>1.0</v>
      </c>
      <c r="I33" s="3">
        <v>1.0</v>
      </c>
      <c r="J33" s="3">
        <v>1.0</v>
      </c>
      <c r="K33" s="3">
        <v>1.0</v>
      </c>
      <c r="L33" s="3">
        <v>4.0</v>
      </c>
      <c r="M33" s="3">
        <v>1.0</v>
      </c>
      <c r="N33" s="3">
        <v>5.0</v>
      </c>
      <c r="O33" s="3">
        <v>1.0</v>
      </c>
      <c r="P33" s="3">
        <v>1.0</v>
      </c>
      <c r="Q33" s="3">
        <v>1.0</v>
      </c>
      <c r="R33" s="3">
        <v>1.0</v>
      </c>
      <c r="S33" s="3">
        <v>1.0</v>
      </c>
      <c r="T33" s="4">
        <f t="shared" si="1"/>
        <v>1</v>
      </c>
    </row>
    <row r="35">
      <c r="A35" s="5"/>
      <c r="B35" s="5" t="s">
        <v>172</v>
      </c>
      <c r="C35" s="5" t="s">
        <v>173</v>
      </c>
      <c r="D35" s="5" t="s">
        <v>174</v>
      </c>
      <c r="E35" s="5" t="s">
        <v>175</v>
      </c>
      <c r="F35" s="5" t="s">
        <v>176</v>
      </c>
      <c r="G35" s="5" t="s">
        <v>177</v>
      </c>
      <c r="H35" s="5" t="s">
        <v>178</v>
      </c>
      <c r="I35" s="5" t="s">
        <v>179</v>
      </c>
      <c r="J35" s="5" t="s">
        <v>180</v>
      </c>
      <c r="K35" s="5" t="s">
        <v>181</v>
      </c>
      <c r="L35" s="5" t="s">
        <v>182</v>
      </c>
      <c r="M35" s="5" t="s">
        <v>183</v>
      </c>
      <c r="N35" s="5" t="s">
        <v>184</v>
      </c>
      <c r="O35" s="5" t="s">
        <v>185</v>
      </c>
      <c r="P35" s="5" t="s">
        <v>186</v>
      </c>
      <c r="Q35" s="5" t="s">
        <v>187</v>
      </c>
      <c r="R35" s="5" t="s">
        <v>188</v>
      </c>
      <c r="S35" s="5" t="s">
        <v>189</v>
      </c>
    </row>
    <row r="36">
      <c r="B36" s="4">
        <f t="shared" ref="B36:S36" si="2">MODE(B2:B33)</f>
        <v>5</v>
      </c>
      <c r="C36" s="4">
        <f t="shared" si="2"/>
        <v>5</v>
      </c>
      <c r="D36" s="4">
        <f t="shared" si="2"/>
        <v>5</v>
      </c>
      <c r="E36" s="4">
        <f t="shared" si="2"/>
        <v>5</v>
      </c>
      <c r="F36" s="4">
        <f t="shared" si="2"/>
        <v>5</v>
      </c>
      <c r="G36" s="4">
        <f t="shared" si="2"/>
        <v>5</v>
      </c>
      <c r="H36" s="4">
        <f t="shared" si="2"/>
        <v>5</v>
      </c>
      <c r="I36" s="4">
        <f t="shared" si="2"/>
        <v>5</v>
      </c>
      <c r="J36" s="4">
        <f t="shared" si="2"/>
        <v>5</v>
      </c>
      <c r="K36" s="4">
        <f t="shared" si="2"/>
        <v>1</v>
      </c>
      <c r="L36" s="4">
        <f t="shared" si="2"/>
        <v>5</v>
      </c>
      <c r="M36" s="4">
        <f t="shared" si="2"/>
        <v>1</v>
      </c>
      <c r="N36" s="4">
        <f t="shared" si="2"/>
        <v>5</v>
      </c>
      <c r="O36" s="4">
        <f t="shared" si="2"/>
        <v>1</v>
      </c>
      <c r="P36" s="4">
        <f t="shared" si="2"/>
        <v>1</v>
      </c>
      <c r="Q36" s="4">
        <f t="shared" si="2"/>
        <v>1</v>
      </c>
      <c r="R36" s="4">
        <f t="shared" si="2"/>
        <v>1</v>
      </c>
      <c r="S36" s="4">
        <f t="shared" si="2"/>
        <v>1</v>
      </c>
    </row>
    <row r="38">
      <c r="A38" s="5"/>
      <c r="B38" s="5" t="s">
        <v>172</v>
      </c>
      <c r="C38" s="5" t="s">
        <v>173</v>
      </c>
      <c r="D38" s="5" t="s">
        <v>174</v>
      </c>
      <c r="E38" s="5" t="s">
        <v>175</v>
      </c>
      <c r="F38" s="5" t="s">
        <v>176</v>
      </c>
      <c r="G38" s="5" t="s">
        <v>177</v>
      </c>
      <c r="H38" s="5" t="s">
        <v>178</v>
      </c>
      <c r="I38" s="5" t="s">
        <v>179</v>
      </c>
      <c r="J38" s="5" t="s">
        <v>180</v>
      </c>
      <c r="K38" s="5" t="s">
        <v>181</v>
      </c>
      <c r="L38" s="5" t="s">
        <v>182</v>
      </c>
      <c r="M38" s="5" t="s">
        <v>183</v>
      </c>
      <c r="N38" s="5" t="s">
        <v>184</v>
      </c>
      <c r="O38" s="5" t="s">
        <v>185</v>
      </c>
      <c r="P38" s="5" t="s">
        <v>186</v>
      </c>
      <c r="Q38" s="5" t="s">
        <v>187</v>
      </c>
      <c r="R38" s="5" t="s">
        <v>188</v>
      </c>
      <c r="S38" s="5" t="s">
        <v>189</v>
      </c>
    </row>
    <row r="39">
      <c r="A39" s="3">
        <v>1.0</v>
      </c>
      <c r="B39" s="4">
        <f t="shared" ref="B39:S39" si="3">COUNTIF(B2:B33, 1)</f>
        <v>0</v>
      </c>
      <c r="C39" s="4">
        <f t="shared" si="3"/>
        <v>7</v>
      </c>
      <c r="D39" s="4">
        <f t="shared" si="3"/>
        <v>9</v>
      </c>
      <c r="E39" s="4">
        <f t="shared" si="3"/>
        <v>1</v>
      </c>
      <c r="F39" s="4">
        <f t="shared" si="3"/>
        <v>5</v>
      </c>
      <c r="G39" s="4">
        <f t="shared" si="3"/>
        <v>8</v>
      </c>
      <c r="H39" s="4">
        <f t="shared" si="3"/>
        <v>8</v>
      </c>
      <c r="I39" s="4">
        <f t="shared" si="3"/>
        <v>15</v>
      </c>
      <c r="J39" s="4">
        <f t="shared" si="3"/>
        <v>14</v>
      </c>
      <c r="K39" s="4">
        <f t="shared" si="3"/>
        <v>25</v>
      </c>
      <c r="L39" s="4">
        <f t="shared" si="3"/>
        <v>5</v>
      </c>
      <c r="M39" s="4">
        <f t="shared" si="3"/>
        <v>20</v>
      </c>
      <c r="N39" s="4">
        <f t="shared" si="3"/>
        <v>14</v>
      </c>
      <c r="O39" s="4">
        <f t="shared" si="3"/>
        <v>22</v>
      </c>
      <c r="P39" s="4">
        <f t="shared" si="3"/>
        <v>19</v>
      </c>
      <c r="Q39" s="4">
        <f t="shared" si="3"/>
        <v>24</v>
      </c>
      <c r="R39" s="4">
        <f t="shared" si="3"/>
        <v>19</v>
      </c>
      <c r="S39" s="4">
        <f t="shared" si="3"/>
        <v>17</v>
      </c>
    </row>
    <row r="40">
      <c r="A40" s="3">
        <v>2.0</v>
      </c>
      <c r="B40" s="4">
        <f t="shared" ref="B40:S40" si="4">COUNTIF(B2:B33, 2)</f>
        <v>0</v>
      </c>
      <c r="C40" s="4">
        <f t="shared" si="4"/>
        <v>0</v>
      </c>
      <c r="D40" s="4">
        <f t="shared" si="4"/>
        <v>2</v>
      </c>
      <c r="E40" s="4">
        <f t="shared" si="4"/>
        <v>0</v>
      </c>
      <c r="F40" s="4">
        <f t="shared" si="4"/>
        <v>1</v>
      </c>
      <c r="G40" s="4">
        <f t="shared" si="4"/>
        <v>0</v>
      </c>
      <c r="H40" s="4">
        <f t="shared" si="4"/>
        <v>2</v>
      </c>
      <c r="I40" s="4">
        <f t="shared" si="4"/>
        <v>0</v>
      </c>
      <c r="J40" s="4">
        <f t="shared" si="4"/>
        <v>1</v>
      </c>
      <c r="K40" s="4">
        <f t="shared" si="4"/>
        <v>0</v>
      </c>
      <c r="L40" s="4">
        <f t="shared" si="4"/>
        <v>0</v>
      </c>
      <c r="M40" s="4">
        <f t="shared" si="4"/>
        <v>2</v>
      </c>
      <c r="N40" s="4">
        <f t="shared" si="4"/>
        <v>2</v>
      </c>
      <c r="O40" s="4">
        <f t="shared" si="4"/>
        <v>1</v>
      </c>
      <c r="P40" s="4">
        <f t="shared" si="4"/>
        <v>1</v>
      </c>
      <c r="Q40" s="4">
        <f t="shared" si="4"/>
        <v>2</v>
      </c>
      <c r="R40" s="4">
        <f t="shared" si="4"/>
        <v>0</v>
      </c>
      <c r="S40" s="4">
        <f t="shared" si="4"/>
        <v>0</v>
      </c>
    </row>
    <row r="41">
      <c r="A41" s="3">
        <v>3.0</v>
      </c>
      <c r="B41" s="4">
        <f t="shared" ref="B41:S41" si="5">COUNTIF(B2:B33, 3)</f>
        <v>0</v>
      </c>
      <c r="C41" s="4">
        <f t="shared" si="5"/>
        <v>1</v>
      </c>
      <c r="D41" s="4">
        <f t="shared" si="5"/>
        <v>1</v>
      </c>
      <c r="E41" s="4">
        <f t="shared" si="5"/>
        <v>0</v>
      </c>
      <c r="F41" s="4">
        <f t="shared" si="5"/>
        <v>1</v>
      </c>
      <c r="G41" s="4">
        <f t="shared" si="5"/>
        <v>1</v>
      </c>
      <c r="H41" s="4">
        <f t="shared" si="5"/>
        <v>4</v>
      </c>
      <c r="I41" s="4">
        <f t="shared" si="5"/>
        <v>0</v>
      </c>
      <c r="J41" s="4">
        <f t="shared" si="5"/>
        <v>3</v>
      </c>
      <c r="K41" s="4">
        <f t="shared" si="5"/>
        <v>2</v>
      </c>
      <c r="L41" s="4">
        <f t="shared" si="5"/>
        <v>2</v>
      </c>
      <c r="M41" s="4">
        <f t="shared" si="5"/>
        <v>0</v>
      </c>
      <c r="N41" s="4">
        <f t="shared" si="5"/>
        <v>0</v>
      </c>
      <c r="O41" s="4">
        <f t="shared" si="5"/>
        <v>0</v>
      </c>
      <c r="P41" s="4">
        <f t="shared" si="5"/>
        <v>0</v>
      </c>
      <c r="Q41" s="4">
        <f t="shared" si="5"/>
        <v>2</v>
      </c>
      <c r="R41" s="4">
        <f t="shared" si="5"/>
        <v>0</v>
      </c>
      <c r="S41" s="4">
        <f t="shared" si="5"/>
        <v>3</v>
      </c>
    </row>
    <row r="42">
      <c r="A42" s="3">
        <v>4.0</v>
      </c>
      <c r="B42" s="4">
        <f t="shared" ref="B42:S42" si="6">COUNTIF(B2:B33, 4)</f>
        <v>1</v>
      </c>
      <c r="C42" s="4">
        <f t="shared" si="6"/>
        <v>0</v>
      </c>
      <c r="D42" s="4">
        <f t="shared" si="6"/>
        <v>1</v>
      </c>
      <c r="E42" s="4">
        <f t="shared" si="6"/>
        <v>2</v>
      </c>
      <c r="F42" s="4">
        <f t="shared" si="6"/>
        <v>3</v>
      </c>
      <c r="G42" s="4">
        <f t="shared" si="6"/>
        <v>2</v>
      </c>
      <c r="H42" s="4">
        <f t="shared" si="6"/>
        <v>4</v>
      </c>
      <c r="I42" s="4">
        <f t="shared" si="6"/>
        <v>1</v>
      </c>
      <c r="J42" s="4">
        <f t="shared" si="6"/>
        <v>0</v>
      </c>
      <c r="K42" s="4">
        <f t="shared" si="6"/>
        <v>1</v>
      </c>
      <c r="L42" s="4">
        <f t="shared" si="6"/>
        <v>4</v>
      </c>
      <c r="M42" s="4">
        <f t="shared" si="6"/>
        <v>0</v>
      </c>
      <c r="N42" s="4">
        <f t="shared" si="6"/>
        <v>1</v>
      </c>
      <c r="O42" s="4">
        <f t="shared" si="6"/>
        <v>1</v>
      </c>
      <c r="P42" s="4">
        <f t="shared" si="6"/>
        <v>2</v>
      </c>
      <c r="Q42" s="4">
        <f t="shared" si="6"/>
        <v>2</v>
      </c>
      <c r="R42" s="4">
        <f t="shared" si="6"/>
        <v>3</v>
      </c>
      <c r="S42" s="4">
        <f t="shared" si="6"/>
        <v>2</v>
      </c>
    </row>
    <row r="43">
      <c r="A43" s="3">
        <v>5.0</v>
      </c>
      <c r="B43" s="4">
        <f t="shared" ref="B43:S43" si="7">COUNTIF(B2:B33, 5)</f>
        <v>31</v>
      </c>
      <c r="C43" s="4">
        <f t="shared" si="7"/>
        <v>24</v>
      </c>
      <c r="D43" s="4">
        <f t="shared" si="7"/>
        <v>19</v>
      </c>
      <c r="E43" s="4">
        <f t="shared" si="7"/>
        <v>29</v>
      </c>
      <c r="F43" s="4">
        <f t="shared" si="7"/>
        <v>22</v>
      </c>
      <c r="G43" s="4">
        <f t="shared" si="7"/>
        <v>21</v>
      </c>
      <c r="H43" s="4">
        <f t="shared" si="7"/>
        <v>14</v>
      </c>
      <c r="I43" s="4">
        <f t="shared" si="7"/>
        <v>16</v>
      </c>
      <c r="J43" s="4">
        <f t="shared" si="7"/>
        <v>14</v>
      </c>
      <c r="K43" s="4">
        <f t="shared" si="7"/>
        <v>4</v>
      </c>
      <c r="L43" s="4">
        <f t="shared" si="7"/>
        <v>21</v>
      </c>
      <c r="M43" s="4">
        <f t="shared" si="7"/>
        <v>10</v>
      </c>
      <c r="N43" s="4">
        <f t="shared" si="7"/>
        <v>15</v>
      </c>
      <c r="O43" s="4">
        <f t="shared" si="7"/>
        <v>8</v>
      </c>
      <c r="P43" s="4">
        <f t="shared" si="7"/>
        <v>10</v>
      </c>
      <c r="Q43" s="4">
        <f t="shared" si="7"/>
        <v>2</v>
      </c>
      <c r="R43" s="4">
        <f t="shared" si="7"/>
        <v>10</v>
      </c>
      <c r="S43" s="4">
        <f t="shared" si="7"/>
        <v>10</v>
      </c>
    </row>
    <row r="45">
      <c r="A45" s="5"/>
      <c r="B45" s="5" t="s">
        <v>172</v>
      </c>
      <c r="C45" s="5" t="s">
        <v>173</v>
      </c>
      <c r="D45" s="5" t="s">
        <v>174</v>
      </c>
      <c r="E45" s="5" t="s">
        <v>175</v>
      </c>
      <c r="F45" s="5" t="s">
        <v>176</v>
      </c>
      <c r="G45" s="5" t="s">
        <v>177</v>
      </c>
      <c r="H45" s="5" t="s">
        <v>178</v>
      </c>
      <c r="I45" s="5" t="s">
        <v>179</v>
      </c>
      <c r="J45" s="5" t="s">
        <v>180</v>
      </c>
      <c r="K45" s="5" t="s">
        <v>181</v>
      </c>
      <c r="L45" s="5" t="s">
        <v>182</v>
      </c>
      <c r="M45" s="5" t="s">
        <v>183</v>
      </c>
      <c r="N45" s="5" t="s">
        <v>184</v>
      </c>
      <c r="O45" s="5" t="s">
        <v>185</v>
      </c>
      <c r="P45" s="5" t="s">
        <v>186</v>
      </c>
      <c r="Q45" s="5" t="s">
        <v>187</v>
      </c>
      <c r="R45" s="5" t="s">
        <v>188</v>
      </c>
      <c r="S45" s="5" t="s">
        <v>189</v>
      </c>
    </row>
    <row r="46">
      <c r="A46" s="3">
        <v>1.0</v>
      </c>
      <c r="B46" s="4">
        <f t="shared" ref="B46:S46" si="8">COUNTIF(B9:B40, 1)</f>
        <v>0</v>
      </c>
      <c r="C46" s="4">
        <f t="shared" si="8"/>
        <v>4</v>
      </c>
      <c r="D46" s="4">
        <f t="shared" si="8"/>
        <v>5</v>
      </c>
      <c r="E46" s="4">
        <f t="shared" si="8"/>
        <v>2</v>
      </c>
      <c r="F46" s="4">
        <f t="shared" si="8"/>
        <v>4</v>
      </c>
      <c r="G46" s="4">
        <f t="shared" si="8"/>
        <v>4</v>
      </c>
      <c r="H46" s="4">
        <f t="shared" si="8"/>
        <v>4</v>
      </c>
      <c r="I46" s="4">
        <f t="shared" si="8"/>
        <v>10</v>
      </c>
      <c r="J46" s="4">
        <f t="shared" si="8"/>
        <v>13</v>
      </c>
      <c r="K46" s="4">
        <f t="shared" si="8"/>
        <v>20</v>
      </c>
      <c r="L46" s="4">
        <f t="shared" si="8"/>
        <v>2</v>
      </c>
      <c r="M46" s="4">
        <f t="shared" si="8"/>
        <v>16</v>
      </c>
      <c r="N46" s="4">
        <f t="shared" si="8"/>
        <v>9</v>
      </c>
      <c r="O46" s="4">
        <f t="shared" si="8"/>
        <v>17</v>
      </c>
      <c r="P46" s="4">
        <f t="shared" si="8"/>
        <v>15</v>
      </c>
      <c r="Q46" s="4">
        <f t="shared" si="8"/>
        <v>20</v>
      </c>
      <c r="R46" s="4">
        <f t="shared" si="8"/>
        <v>14</v>
      </c>
      <c r="S46" s="4">
        <f t="shared" si="8"/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172</v>
      </c>
      <c r="B1" s="5" t="s">
        <v>173</v>
      </c>
      <c r="C1" s="5" t="s">
        <v>174</v>
      </c>
      <c r="D1" s="5" t="s">
        <v>175</v>
      </c>
      <c r="E1" s="5" t="s">
        <v>176</v>
      </c>
      <c r="F1" s="5" t="s">
        <v>177</v>
      </c>
      <c r="G1" s="5" t="s">
        <v>178</v>
      </c>
      <c r="H1" s="5" t="s">
        <v>179</v>
      </c>
      <c r="I1" s="5" t="s">
        <v>180</v>
      </c>
      <c r="J1" s="5" t="s">
        <v>181</v>
      </c>
      <c r="K1" s="5" t="s">
        <v>182</v>
      </c>
      <c r="L1" s="5" t="s">
        <v>183</v>
      </c>
      <c r="M1" s="5" t="s">
        <v>184</v>
      </c>
      <c r="N1" s="5" t="s">
        <v>185</v>
      </c>
      <c r="O1" s="5" t="s">
        <v>186</v>
      </c>
      <c r="P1" s="5" t="s">
        <v>187</v>
      </c>
      <c r="Q1" s="5" t="s">
        <v>188</v>
      </c>
      <c r="R1" s="5" t="s">
        <v>189</v>
      </c>
    </row>
    <row r="2">
      <c r="A2" s="3">
        <v>5.0</v>
      </c>
      <c r="B2" s="3">
        <v>1.0</v>
      </c>
      <c r="C2" s="3">
        <v>1.0</v>
      </c>
      <c r="D2" s="3">
        <v>4.0</v>
      </c>
      <c r="E2" s="3">
        <v>1.0</v>
      </c>
      <c r="F2" s="3">
        <v>1.0</v>
      </c>
      <c r="G2" s="3">
        <v>1.0</v>
      </c>
      <c r="H2" s="3">
        <v>1.0</v>
      </c>
      <c r="I2" s="3">
        <v>3.0</v>
      </c>
      <c r="J2" s="3">
        <v>1.0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3">
        <v>1.0</v>
      </c>
    </row>
    <row r="3">
      <c r="A3" s="3">
        <v>5.0</v>
      </c>
      <c r="B3" s="3">
        <v>5.0</v>
      </c>
      <c r="C3" s="3">
        <v>1.0</v>
      </c>
      <c r="D3" s="3">
        <v>4.0</v>
      </c>
      <c r="E3" s="3">
        <v>4.0</v>
      </c>
      <c r="F3" s="3">
        <v>1.0</v>
      </c>
      <c r="G3" s="3">
        <v>2.0</v>
      </c>
      <c r="H3" s="3">
        <v>1.0</v>
      </c>
      <c r="I3" s="3">
        <v>5.0</v>
      </c>
      <c r="J3" s="3">
        <v>1.0</v>
      </c>
      <c r="K3" s="3">
        <v>4.0</v>
      </c>
      <c r="L3" s="3">
        <v>1.0</v>
      </c>
      <c r="M3" s="3">
        <v>5.0</v>
      </c>
      <c r="N3" s="3">
        <v>1.0</v>
      </c>
      <c r="O3" s="3">
        <v>1.0</v>
      </c>
      <c r="P3" s="3">
        <v>1.0</v>
      </c>
      <c r="Q3" s="3">
        <v>1.0</v>
      </c>
      <c r="R3" s="3">
        <v>1.0</v>
      </c>
    </row>
    <row r="4">
      <c r="A4" s="3">
        <v>4.0</v>
      </c>
      <c r="B4" s="3">
        <v>1.0</v>
      </c>
      <c r="C4" s="3">
        <v>1.0</v>
      </c>
      <c r="D4" s="3">
        <v>5.0</v>
      </c>
      <c r="E4" s="3">
        <v>1.0</v>
      </c>
      <c r="F4" s="3">
        <v>1.0</v>
      </c>
      <c r="G4" s="3">
        <v>1.0</v>
      </c>
      <c r="H4" s="3">
        <v>1.0</v>
      </c>
      <c r="I4" s="3">
        <v>1.0</v>
      </c>
      <c r="J4" s="3">
        <v>1.0</v>
      </c>
      <c r="K4" s="3">
        <v>1.0</v>
      </c>
      <c r="L4" s="3">
        <v>1.0</v>
      </c>
      <c r="M4" s="3">
        <v>1.0</v>
      </c>
      <c r="N4" s="3">
        <v>1.0</v>
      </c>
      <c r="O4" s="3">
        <v>1.0</v>
      </c>
      <c r="P4" s="3">
        <v>1.0</v>
      </c>
      <c r="Q4" s="3">
        <v>1.0</v>
      </c>
      <c r="R4" s="3">
        <v>1.0</v>
      </c>
    </row>
    <row r="5">
      <c r="A5" s="3">
        <v>5.0</v>
      </c>
      <c r="B5" s="3">
        <v>5.0</v>
      </c>
      <c r="C5" s="3">
        <v>1.0</v>
      </c>
      <c r="D5" s="3">
        <v>5.0</v>
      </c>
      <c r="E5" s="3">
        <v>5.0</v>
      </c>
      <c r="F5" s="3">
        <v>1.0</v>
      </c>
      <c r="G5" s="3">
        <v>1.0</v>
      </c>
      <c r="H5" s="3">
        <v>1.0</v>
      </c>
      <c r="I5" s="3">
        <v>1.0</v>
      </c>
      <c r="J5" s="3">
        <v>1.0</v>
      </c>
      <c r="K5" s="3">
        <v>5.0</v>
      </c>
      <c r="L5" s="3">
        <v>1.0</v>
      </c>
      <c r="M5" s="3">
        <v>1.0</v>
      </c>
      <c r="N5" s="3">
        <v>1.0</v>
      </c>
      <c r="O5" s="3">
        <v>1.0</v>
      </c>
      <c r="P5" s="3">
        <v>1.0</v>
      </c>
      <c r="Q5" s="3">
        <v>1.0</v>
      </c>
      <c r="R5" s="3">
        <v>1.0</v>
      </c>
    </row>
    <row r="6">
      <c r="A6" s="3">
        <v>5.0</v>
      </c>
      <c r="B6" s="3">
        <v>1.0</v>
      </c>
      <c r="C6" s="3">
        <v>3.0</v>
      </c>
      <c r="D6" s="3">
        <v>5.0</v>
      </c>
      <c r="E6" s="3">
        <v>2.0</v>
      </c>
      <c r="F6" s="3">
        <v>4.0</v>
      </c>
      <c r="G6" s="3">
        <v>1.0</v>
      </c>
      <c r="H6" s="3">
        <v>1.0</v>
      </c>
      <c r="I6" s="3">
        <v>2.0</v>
      </c>
      <c r="J6" s="3">
        <v>1.0</v>
      </c>
      <c r="K6" s="3">
        <v>1.0</v>
      </c>
      <c r="L6" s="3">
        <v>1.0</v>
      </c>
      <c r="M6" s="3">
        <v>1.0</v>
      </c>
      <c r="N6" s="3">
        <v>1.0</v>
      </c>
      <c r="O6" s="3">
        <v>1.0</v>
      </c>
      <c r="P6" s="3">
        <v>1.0</v>
      </c>
      <c r="Q6" s="3">
        <v>1.0</v>
      </c>
      <c r="R6" s="3">
        <v>1.0</v>
      </c>
    </row>
    <row r="7">
      <c r="A7" s="3">
        <v>5.0</v>
      </c>
      <c r="B7" s="3">
        <v>5.0</v>
      </c>
      <c r="C7" s="3">
        <v>5.0</v>
      </c>
      <c r="D7" s="3">
        <v>5.0</v>
      </c>
      <c r="E7" s="3">
        <v>5.0</v>
      </c>
      <c r="F7" s="3">
        <v>5.0</v>
      </c>
      <c r="G7" s="3">
        <v>5.0</v>
      </c>
      <c r="H7" s="3">
        <v>5.0</v>
      </c>
      <c r="I7" s="3">
        <v>5.0</v>
      </c>
      <c r="J7" s="3">
        <v>1.0</v>
      </c>
      <c r="K7" s="3">
        <v>5.0</v>
      </c>
      <c r="L7" s="3">
        <v>2.0</v>
      </c>
      <c r="M7" s="3">
        <v>1.0</v>
      </c>
      <c r="N7" s="3">
        <v>1.0</v>
      </c>
      <c r="O7" s="3">
        <v>1.0</v>
      </c>
      <c r="P7" s="3">
        <v>2.0</v>
      </c>
      <c r="Q7" s="3">
        <v>1.0</v>
      </c>
      <c r="R7" s="3">
        <v>5.0</v>
      </c>
    </row>
    <row r="8">
      <c r="A8" s="3">
        <v>5.0</v>
      </c>
      <c r="B8" s="3">
        <v>5.0</v>
      </c>
      <c r="C8" s="3">
        <v>5.0</v>
      </c>
      <c r="D8" s="3">
        <v>5.0</v>
      </c>
      <c r="E8" s="3">
        <v>5.0</v>
      </c>
      <c r="F8" s="3">
        <v>5.0</v>
      </c>
      <c r="G8" s="3">
        <v>5.0</v>
      </c>
      <c r="H8" s="3">
        <v>4.0</v>
      </c>
      <c r="I8" s="3">
        <v>5.0</v>
      </c>
      <c r="J8" s="3">
        <v>4.0</v>
      </c>
      <c r="K8" s="3">
        <v>5.0</v>
      </c>
      <c r="L8" s="3">
        <v>5.0</v>
      </c>
      <c r="M8" s="3">
        <v>5.0</v>
      </c>
      <c r="N8" s="3">
        <v>1.0</v>
      </c>
      <c r="O8" s="3">
        <v>5.0</v>
      </c>
      <c r="P8" s="3">
        <v>2.0</v>
      </c>
      <c r="Q8" s="3">
        <v>5.0</v>
      </c>
      <c r="R8" s="3">
        <v>5.0</v>
      </c>
    </row>
    <row r="9">
      <c r="A9" s="3">
        <v>5.0</v>
      </c>
      <c r="B9" s="3">
        <v>5.0</v>
      </c>
      <c r="C9" s="3">
        <v>2.0</v>
      </c>
      <c r="D9" s="3">
        <v>5.0</v>
      </c>
      <c r="E9" s="3">
        <v>1.0</v>
      </c>
      <c r="F9" s="3">
        <v>5.0</v>
      </c>
      <c r="G9" s="3">
        <v>3.0</v>
      </c>
      <c r="H9" s="3">
        <v>5.0</v>
      </c>
      <c r="I9" s="3">
        <v>1.0</v>
      </c>
      <c r="J9" s="3">
        <v>1.0</v>
      </c>
      <c r="K9" s="3">
        <v>4.0</v>
      </c>
      <c r="L9" s="3">
        <v>1.0</v>
      </c>
      <c r="M9" s="3">
        <v>5.0</v>
      </c>
      <c r="N9" s="3">
        <v>1.0</v>
      </c>
      <c r="O9" s="3">
        <v>5.0</v>
      </c>
      <c r="P9" s="3">
        <v>3.0</v>
      </c>
      <c r="Q9" s="3">
        <v>1.0</v>
      </c>
      <c r="R9" s="3">
        <v>1.0</v>
      </c>
    </row>
    <row r="10">
      <c r="A10" s="3">
        <v>5.0</v>
      </c>
      <c r="B10" s="3">
        <v>5.0</v>
      </c>
      <c r="C10" s="3">
        <v>4.0</v>
      </c>
      <c r="D10" s="3">
        <v>5.0</v>
      </c>
      <c r="E10" s="3">
        <v>5.0</v>
      </c>
      <c r="F10" s="3">
        <v>5.0</v>
      </c>
      <c r="G10" s="3">
        <v>4.0</v>
      </c>
      <c r="H10" s="3">
        <v>5.0</v>
      </c>
      <c r="I10" s="3">
        <v>5.0</v>
      </c>
      <c r="J10" s="3">
        <v>1.0</v>
      </c>
      <c r="K10" s="3">
        <v>5.0</v>
      </c>
      <c r="L10" s="3">
        <v>1.0</v>
      </c>
      <c r="M10" s="3">
        <v>5.0</v>
      </c>
      <c r="N10" s="3">
        <v>1.0</v>
      </c>
      <c r="O10" s="3">
        <v>5.0</v>
      </c>
      <c r="P10" s="3">
        <v>1.0</v>
      </c>
      <c r="Q10" s="3">
        <v>1.0</v>
      </c>
      <c r="R10" s="3">
        <v>5.0</v>
      </c>
    </row>
    <row r="11">
      <c r="A11" s="3">
        <v>5.0</v>
      </c>
      <c r="B11" s="3">
        <v>5.0</v>
      </c>
      <c r="C11" s="3">
        <v>5.0</v>
      </c>
      <c r="D11" s="3">
        <v>5.0</v>
      </c>
      <c r="E11" s="3">
        <v>5.0</v>
      </c>
      <c r="F11" s="3">
        <v>1.0</v>
      </c>
      <c r="G11" s="3">
        <v>4.0</v>
      </c>
      <c r="H11" s="3">
        <v>5.0</v>
      </c>
      <c r="I11" s="3">
        <v>1.0</v>
      </c>
      <c r="J11" s="3">
        <v>1.0</v>
      </c>
      <c r="K11" s="3">
        <v>3.0</v>
      </c>
      <c r="L11" s="3">
        <v>1.0</v>
      </c>
      <c r="M11" s="3">
        <v>5.0</v>
      </c>
      <c r="N11" s="3">
        <v>1.0</v>
      </c>
      <c r="O11" s="3">
        <v>5.0</v>
      </c>
      <c r="P11" s="3">
        <v>1.0</v>
      </c>
      <c r="Q11" s="3">
        <v>4.0</v>
      </c>
      <c r="R11" s="3">
        <v>3.0</v>
      </c>
    </row>
    <row r="12">
      <c r="A12" s="3">
        <v>5.0</v>
      </c>
      <c r="B12" s="3">
        <v>5.0</v>
      </c>
      <c r="C12" s="3">
        <v>5.0</v>
      </c>
      <c r="D12" s="3">
        <v>5.0</v>
      </c>
      <c r="E12" s="3">
        <v>5.0</v>
      </c>
      <c r="F12" s="3">
        <v>5.0</v>
      </c>
      <c r="G12" s="3">
        <v>3.0</v>
      </c>
      <c r="H12" s="3">
        <v>5.0</v>
      </c>
      <c r="I12" s="3">
        <v>5.0</v>
      </c>
      <c r="J12" s="3">
        <v>3.0</v>
      </c>
      <c r="K12" s="3">
        <v>4.0</v>
      </c>
      <c r="L12" s="3">
        <v>5.0</v>
      </c>
      <c r="M12" s="3">
        <v>5.0</v>
      </c>
      <c r="N12" s="3">
        <v>1.0</v>
      </c>
      <c r="O12" s="3">
        <v>5.0</v>
      </c>
      <c r="P12" s="3">
        <v>1.0</v>
      </c>
      <c r="Q12" s="3">
        <v>5.0</v>
      </c>
      <c r="R12" s="3">
        <v>5.0</v>
      </c>
    </row>
    <row r="13">
      <c r="A13" s="3">
        <v>5.0</v>
      </c>
      <c r="B13" s="3">
        <v>5.0</v>
      </c>
      <c r="C13" s="3">
        <v>5.0</v>
      </c>
      <c r="D13" s="3">
        <v>5.0</v>
      </c>
      <c r="E13" s="3">
        <v>5.0</v>
      </c>
      <c r="F13" s="3">
        <v>5.0</v>
      </c>
      <c r="G13" s="3">
        <v>5.0</v>
      </c>
      <c r="H13" s="3">
        <v>5.0</v>
      </c>
      <c r="I13" s="3">
        <v>1.0</v>
      </c>
      <c r="J13" s="3">
        <v>1.0</v>
      </c>
      <c r="K13" s="3">
        <v>5.0</v>
      </c>
      <c r="L13" s="3">
        <v>5.0</v>
      </c>
      <c r="M13" s="3">
        <v>5.0</v>
      </c>
      <c r="N13" s="3">
        <v>5.0</v>
      </c>
      <c r="O13" s="3">
        <v>2.0</v>
      </c>
      <c r="P13" s="3">
        <v>1.0</v>
      </c>
      <c r="Q13" s="3">
        <v>5.0</v>
      </c>
      <c r="R13" s="3">
        <v>5.0</v>
      </c>
    </row>
    <row r="14">
      <c r="A14" s="3">
        <v>5.0</v>
      </c>
      <c r="B14" s="3">
        <v>5.0</v>
      </c>
      <c r="C14" s="3">
        <v>5.0</v>
      </c>
      <c r="D14" s="3">
        <v>5.0</v>
      </c>
      <c r="E14" s="3">
        <v>5.0</v>
      </c>
      <c r="F14" s="3">
        <v>5.0</v>
      </c>
      <c r="G14" s="3">
        <v>5.0</v>
      </c>
      <c r="H14" s="3">
        <v>1.0</v>
      </c>
      <c r="I14" s="3">
        <v>1.0</v>
      </c>
      <c r="J14" s="3">
        <v>5.0</v>
      </c>
      <c r="K14" s="3">
        <v>5.0</v>
      </c>
      <c r="L14" s="3">
        <v>2.0</v>
      </c>
      <c r="M14" s="3">
        <v>1.0</v>
      </c>
      <c r="N14" s="3">
        <v>5.0</v>
      </c>
      <c r="O14" s="3">
        <v>4.0</v>
      </c>
      <c r="P14" s="3">
        <v>4.0</v>
      </c>
      <c r="Q14" s="3">
        <v>1.0</v>
      </c>
      <c r="R14" s="3">
        <v>5.0</v>
      </c>
    </row>
    <row r="15">
      <c r="A15" s="3">
        <v>5.0</v>
      </c>
      <c r="B15" s="3">
        <v>5.0</v>
      </c>
      <c r="C15" s="3">
        <v>5.0</v>
      </c>
      <c r="D15" s="3">
        <v>5.0</v>
      </c>
      <c r="E15" s="3">
        <v>5.0</v>
      </c>
      <c r="F15" s="3">
        <v>5.0</v>
      </c>
      <c r="G15" s="3">
        <v>5.0</v>
      </c>
      <c r="H15" s="3">
        <v>5.0</v>
      </c>
      <c r="I15" s="3">
        <v>1.0</v>
      </c>
      <c r="J15" s="3">
        <v>1.0</v>
      </c>
      <c r="K15" s="3">
        <v>5.0</v>
      </c>
      <c r="L15" s="3">
        <v>1.0</v>
      </c>
      <c r="M15" s="3">
        <v>5.0</v>
      </c>
      <c r="N15" s="3">
        <v>1.0</v>
      </c>
      <c r="O15" s="3">
        <v>1.0</v>
      </c>
      <c r="P15" s="3">
        <v>1.0</v>
      </c>
      <c r="Q15" s="3">
        <v>1.0</v>
      </c>
      <c r="R15" s="3">
        <v>1.0</v>
      </c>
    </row>
    <row r="16">
      <c r="A16" s="3">
        <v>5.0</v>
      </c>
      <c r="B16" s="3">
        <v>3.0</v>
      </c>
      <c r="C16" s="3">
        <v>2.0</v>
      </c>
      <c r="D16" s="3">
        <v>5.0</v>
      </c>
      <c r="E16" s="3">
        <v>4.0</v>
      </c>
      <c r="F16" s="3">
        <v>5.0</v>
      </c>
      <c r="G16" s="3">
        <v>2.0</v>
      </c>
      <c r="H16" s="3">
        <v>1.0</v>
      </c>
      <c r="I16" s="3">
        <v>1.0</v>
      </c>
      <c r="J16" s="3">
        <v>1.0</v>
      </c>
      <c r="K16" s="3">
        <v>5.0</v>
      </c>
      <c r="L16" s="3">
        <v>1.0</v>
      </c>
      <c r="M16" s="3">
        <v>2.0</v>
      </c>
      <c r="N16" s="3">
        <v>2.0</v>
      </c>
      <c r="O16" s="3">
        <v>1.0</v>
      </c>
      <c r="P16" s="3">
        <v>3.0</v>
      </c>
      <c r="Q16" s="3">
        <v>4.0</v>
      </c>
      <c r="R16" s="3">
        <v>4.0</v>
      </c>
    </row>
    <row r="17">
      <c r="A17" s="3">
        <v>5.0</v>
      </c>
      <c r="B17" s="3">
        <v>5.0</v>
      </c>
      <c r="C17" s="3">
        <v>5.0</v>
      </c>
      <c r="D17" s="3">
        <v>5.0</v>
      </c>
      <c r="E17" s="3">
        <v>4.0</v>
      </c>
      <c r="F17" s="3">
        <v>5.0</v>
      </c>
      <c r="G17" s="3">
        <v>5.0</v>
      </c>
      <c r="H17" s="3">
        <v>5.0</v>
      </c>
      <c r="I17" s="3">
        <v>3.0</v>
      </c>
      <c r="J17" s="3">
        <v>5.0</v>
      </c>
      <c r="K17" s="3">
        <v>5.0</v>
      </c>
      <c r="L17" s="3">
        <v>5.0</v>
      </c>
      <c r="M17" s="3">
        <v>1.0</v>
      </c>
      <c r="N17" s="3">
        <v>5.0</v>
      </c>
      <c r="O17" s="3">
        <v>5.0</v>
      </c>
      <c r="P17" s="3">
        <v>4.0</v>
      </c>
      <c r="Q17" s="3">
        <v>5.0</v>
      </c>
      <c r="R17" s="3">
        <v>4.0</v>
      </c>
    </row>
    <row r="18">
      <c r="A18" s="3">
        <v>5.0</v>
      </c>
      <c r="B18" s="3">
        <v>1.0</v>
      </c>
      <c r="C18" s="3">
        <v>5.0</v>
      </c>
      <c r="D18" s="3">
        <v>5.0</v>
      </c>
      <c r="E18" s="3">
        <v>5.0</v>
      </c>
      <c r="F18" s="3">
        <v>5.0</v>
      </c>
      <c r="G18" s="3">
        <v>5.0</v>
      </c>
      <c r="H18" s="3">
        <v>5.0</v>
      </c>
      <c r="I18" s="3">
        <v>5.0</v>
      </c>
      <c r="J18" s="3">
        <v>1.0</v>
      </c>
      <c r="K18" s="3">
        <v>5.0</v>
      </c>
      <c r="L18" s="3">
        <v>5.0</v>
      </c>
      <c r="M18" s="3">
        <v>5.0</v>
      </c>
      <c r="N18" s="3">
        <v>5.0</v>
      </c>
      <c r="O18" s="3">
        <v>5.0</v>
      </c>
      <c r="P18" s="3">
        <v>5.0</v>
      </c>
      <c r="Q18" s="3">
        <v>5.0</v>
      </c>
      <c r="R18" s="3">
        <v>5.0</v>
      </c>
    </row>
    <row r="19">
      <c r="A19" s="3">
        <v>5.0</v>
      </c>
      <c r="B19" s="3">
        <v>5.0</v>
      </c>
      <c r="C19" s="3">
        <v>5.0</v>
      </c>
      <c r="D19" s="3">
        <v>5.0</v>
      </c>
      <c r="E19" s="3">
        <v>5.0</v>
      </c>
      <c r="F19" s="3">
        <v>5.0</v>
      </c>
      <c r="G19" s="3">
        <v>5.0</v>
      </c>
      <c r="H19" s="3">
        <v>5.0</v>
      </c>
      <c r="I19" s="3">
        <v>5.0</v>
      </c>
      <c r="J19" s="3">
        <v>1.0</v>
      </c>
      <c r="K19" s="3">
        <v>5.0</v>
      </c>
      <c r="L19" s="3">
        <v>5.0</v>
      </c>
      <c r="M19" s="3">
        <v>5.0</v>
      </c>
      <c r="N19" s="3">
        <v>1.0</v>
      </c>
      <c r="O19" s="3">
        <v>1.0</v>
      </c>
      <c r="P19" s="3">
        <v>1.0</v>
      </c>
      <c r="Q19" s="3">
        <v>5.0</v>
      </c>
      <c r="R19" s="3">
        <v>1.0</v>
      </c>
    </row>
    <row r="20">
      <c r="A20" s="3">
        <v>5.0</v>
      </c>
      <c r="B20" s="3">
        <v>5.0</v>
      </c>
      <c r="C20" s="3">
        <v>5.0</v>
      </c>
      <c r="D20" s="3">
        <v>5.0</v>
      </c>
      <c r="E20" s="3">
        <v>5.0</v>
      </c>
      <c r="F20" s="3">
        <v>5.0</v>
      </c>
      <c r="G20" s="3">
        <v>5.0</v>
      </c>
      <c r="H20" s="3">
        <v>5.0</v>
      </c>
      <c r="I20" s="3">
        <v>5.0</v>
      </c>
      <c r="J20" s="3">
        <v>1.0</v>
      </c>
      <c r="K20" s="3">
        <v>5.0</v>
      </c>
      <c r="L20" s="3">
        <v>1.0</v>
      </c>
      <c r="M20" s="3">
        <v>1.0</v>
      </c>
      <c r="N20" s="3">
        <v>1.0</v>
      </c>
      <c r="O20" s="3">
        <v>1.0</v>
      </c>
      <c r="P20" s="3">
        <v>1.0</v>
      </c>
      <c r="Q20" s="3">
        <v>1.0</v>
      </c>
      <c r="R20" s="3">
        <v>1.0</v>
      </c>
    </row>
    <row r="21">
      <c r="A21" s="3">
        <v>5.0</v>
      </c>
      <c r="B21" s="3">
        <v>5.0</v>
      </c>
      <c r="C21" s="3">
        <v>5.0</v>
      </c>
      <c r="D21" s="3">
        <v>5.0</v>
      </c>
      <c r="E21" s="3">
        <v>5.0</v>
      </c>
      <c r="F21" s="3">
        <v>5.0</v>
      </c>
      <c r="G21" s="3">
        <v>5.0</v>
      </c>
      <c r="H21" s="3">
        <v>5.0</v>
      </c>
      <c r="I21" s="3">
        <v>5.0</v>
      </c>
      <c r="J21" s="3">
        <v>5.0</v>
      </c>
      <c r="K21" s="3">
        <v>5.0</v>
      </c>
      <c r="L21" s="3">
        <v>5.0</v>
      </c>
      <c r="M21" s="3">
        <v>5.0</v>
      </c>
      <c r="N21" s="3">
        <v>5.0</v>
      </c>
      <c r="O21" s="3">
        <v>5.0</v>
      </c>
      <c r="P21" s="3">
        <v>5.0</v>
      </c>
      <c r="Q21" s="3">
        <v>5.0</v>
      </c>
      <c r="R21" s="3">
        <v>5.0</v>
      </c>
    </row>
    <row r="22">
      <c r="A22" s="3">
        <v>5.0</v>
      </c>
      <c r="B22" s="3">
        <v>5.0</v>
      </c>
      <c r="C22" s="3">
        <v>5.0</v>
      </c>
      <c r="D22" s="3">
        <v>5.0</v>
      </c>
      <c r="E22" s="3">
        <v>5.0</v>
      </c>
      <c r="F22" s="3">
        <v>5.0</v>
      </c>
      <c r="G22" s="3">
        <v>5.0</v>
      </c>
      <c r="H22" s="3">
        <v>5.0</v>
      </c>
      <c r="I22" s="3">
        <v>3.0</v>
      </c>
      <c r="J22" s="3">
        <v>1.0</v>
      </c>
      <c r="K22" s="3">
        <v>5.0</v>
      </c>
      <c r="L22" s="3">
        <v>5.0</v>
      </c>
      <c r="M22" s="3">
        <v>5.0</v>
      </c>
      <c r="N22" s="3">
        <v>5.0</v>
      </c>
      <c r="O22" s="3">
        <v>5.0</v>
      </c>
      <c r="P22" s="3">
        <v>1.0</v>
      </c>
      <c r="Q22" s="3">
        <v>5.0</v>
      </c>
      <c r="R22" s="3">
        <v>1.0</v>
      </c>
    </row>
    <row r="23">
      <c r="A23" s="3">
        <v>5.0</v>
      </c>
      <c r="B23" s="3">
        <v>1.0</v>
      </c>
      <c r="C23" s="3">
        <v>1.0</v>
      </c>
      <c r="D23" s="3">
        <v>5.0</v>
      </c>
      <c r="E23" s="3">
        <v>5.0</v>
      </c>
      <c r="F23" s="3">
        <v>3.0</v>
      </c>
      <c r="G23" s="3">
        <v>5.0</v>
      </c>
      <c r="H23" s="3">
        <v>1.0</v>
      </c>
      <c r="I23" s="3">
        <v>1.0</v>
      </c>
      <c r="J23" s="3">
        <v>1.0</v>
      </c>
      <c r="K23" s="3">
        <v>5.0</v>
      </c>
      <c r="L23" s="3">
        <v>1.0</v>
      </c>
      <c r="M23" s="3">
        <v>1.0</v>
      </c>
      <c r="N23" s="3">
        <v>1.0</v>
      </c>
      <c r="O23" s="3">
        <v>1.0</v>
      </c>
      <c r="P23" s="3">
        <v>1.0</v>
      </c>
      <c r="Q23" s="3">
        <v>1.0</v>
      </c>
      <c r="R23" s="3">
        <v>1.0</v>
      </c>
    </row>
    <row r="24">
      <c r="A24" s="3">
        <v>5.0</v>
      </c>
      <c r="B24" s="3">
        <v>5.0</v>
      </c>
      <c r="C24" s="3">
        <v>5.0</v>
      </c>
      <c r="D24" s="3">
        <v>5.0</v>
      </c>
      <c r="E24" s="3">
        <v>5.0</v>
      </c>
      <c r="F24" s="3">
        <v>5.0</v>
      </c>
      <c r="G24" s="3">
        <v>1.0</v>
      </c>
      <c r="H24" s="3">
        <v>1.0</v>
      </c>
      <c r="I24" s="3">
        <v>5.0</v>
      </c>
      <c r="J24" s="3">
        <v>1.0</v>
      </c>
      <c r="K24" s="3">
        <v>5.0</v>
      </c>
      <c r="L24" s="3">
        <v>1.0</v>
      </c>
      <c r="M24" s="3">
        <v>1.0</v>
      </c>
      <c r="N24" s="3">
        <v>1.0</v>
      </c>
      <c r="O24" s="3">
        <v>1.0</v>
      </c>
      <c r="P24" s="3">
        <v>1.0</v>
      </c>
      <c r="Q24" s="3">
        <v>1.0</v>
      </c>
      <c r="R24" s="3">
        <v>1.0</v>
      </c>
    </row>
    <row r="25">
      <c r="A25" s="3">
        <v>5.0</v>
      </c>
      <c r="B25" s="3">
        <v>5.0</v>
      </c>
      <c r="C25" s="3">
        <v>5.0</v>
      </c>
      <c r="D25" s="3">
        <v>5.0</v>
      </c>
      <c r="E25" s="3">
        <v>5.0</v>
      </c>
      <c r="F25" s="3">
        <v>5.0</v>
      </c>
      <c r="G25" s="3">
        <v>1.0</v>
      </c>
      <c r="H25" s="3">
        <v>5.0</v>
      </c>
      <c r="I25" s="3">
        <v>5.0</v>
      </c>
      <c r="J25" s="3">
        <v>1.0</v>
      </c>
      <c r="K25" s="3">
        <v>3.0</v>
      </c>
      <c r="L25" s="3">
        <v>1.0</v>
      </c>
      <c r="M25" s="3">
        <v>1.0</v>
      </c>
      <c r="N25" s="3">
        <v>1.0</v>
      </c>
      <c r="O25" s="3">
        <v>4.0</v>
      </c>
      <c r="P25" s="3">
        <v>1.0</v>
      </c>
      <c r="Q25" s="3">
        <v>4.0</v>
      </c>
      <c r="R25" s="3">
        <v>3.0</v>
      </c>
    </row>
    <row r="26">
      <c r="A26" s="3">
        <v>5.0</v>
      </c>
      <c r="B26" s="3">
        <v>5.0</v>
      </c>
      <c r="C26" s="3">
        <v>5.0</v>
      </c>
      <c r="D26" s="3">
        <v>5.0</v>
      </c>
      <c r="E26" s="3">
        <v>5.0</v>
      </c>
      <c r="F26" s="3">
        <v>5.0</v>
      </c>
      <c r="G26" s="3">
        <v>5.0</v>
      </c>
      <c r="H26" s="3">
        <v>5.0</v>
      </c>
      <c r="I26" s="3">
        <v>5.0</v>
      </c>
      <c r="J26" s="3">
        <v>5.0</v>
      </c>
      <c r="K26" s="3">
        <v>5.0</v>
      </c>
      <c r="L26" s="3">
        <v>5.0</v>
      </c>
      <c r="M26" s="3">
        <v>5.0</v>
      </c>
      <c r="N26" s="3">
        <v>5.0</v>
      </c>
      <c r="O26" s="3">
        <v>5.0</v>
      </c>
      <c r="P26" s="3">
        <v>1.0</v>
      </c>
      <c r="Q26" s="3">
        <v>5.0</v>
      </c>
      <c r="R26" s="3">
        <v>5.0</v>
      </c>
    </row>
    <row r="27">
      <c r="A27" s="3">
        <v>5.0</v>
      </c>
      <c r="B27" s="3">
        <v>5.0</v>
      </c>
      <c r="C27" s="3">
        <v>5.0</v>
      </c>
      <c r="D27" s="3">
        <v>5.0</v>
      </c>
      <c r="E27" s="3">
        <v>5.0</v>
      </c>
      <c r="F27" s="3">
        <v>5.0</v>
      </c>
      <c r="G27" s="3">
        <v>5.0</v>
      </c>
      <c r="H27" s="3">
        <v>1.0</v>
      </c>
      <c r="I27" s="3">
        <v>5.0</v>
      </c>
      <c r="J27" s="3">
        <v>1.0</v>
      </c>
      <c r="K27" s="3">
        <v>5.0</v>
      </c>
      <c r="L27" s="3">
        <v>1.0</v>
      </c>
      <c r="M27" s="3">
        <v>1.0</v>
      </c>
      <c r="N27" s="3">
        <v>1.0</v>
      </c>
      <c r="O27" s="3">
        <v>1.0</v>
      </c>
      <c r="P27" s="3">
        <v>1.0</v>
      </c>
      <c r="Q27" s="3">
        <v>1.0</v>
      </c>
      <c r="R27" s="3">
        <v>1.0</v>
      </c>
    </row>
    <row r="28">
      <c r="A28" s="3">
        <v>5.0</v>
      </c>
      <c r="B28" s="3">
        <v>5.0</v>
      </c>
      <c r="C28" s="3">
        <v>1.0</v>
      </c>
      <c r="D28" s="3">
        <v>5.0</v>
      </c>
      <c r="E28" s="3">
        <v>1.0</v>
      </c>
      <c r="F28" s="3">
        <v>1.0</v>
      </c>
      <c r="G28" s="3">
        <v>1.0</v>
      </c>
      <c r="H28" s="3">
        <v>1.0</v>
      </c>
      <c r="I28" s="3">
        <v>1.0</v>
      </c>
      <c r="J28" s="3">
        <v>1.0</v>
      </c>
      <c r="K28" s="3">
        <v>1.0</v>
      </c>
      <c r="L28" s="3">
        <v>1.0</v>
      </c>
      <c r="M28" s="3">
        <v>1.0</v>
      </c>
      <c r="N28" s="3">
        <v>1.0</v>
      </c>
      <c r="O28" s="3">
        <v>1.0</v>
      </c>
      <c r="P28" s="3">
        <v>1.0</v>
      </c>
      <c r="Q28" s="3">
        <v>1.0</v>
      </c>
      <c r="R28" s="3">
        <v>1.0</v>
      </c>
    </row>
    <row r="29">
      <c r="A29" s="3">
        <v>5.0</v>
      </c>
      <c r="B29" s="3">
        <v>5.0</v>
      </c>
      <c r="C29" s="3">
        <v>5.0</v>
      </c>
      <c r="D29" s="3">
        <v>5.0</v>
      </c>
      <c r="E29" s="3">
        <v>5.0</v>
      </c>
      <c r="F29" s="3">
        <v>5.0</v>
      </c>
      <c r="G29" s="3">
        <v>4.0</v>
      </c>
      <c r="H29" s="3">
        <v>5.0</v>
      </c>
      <c r="I29" s="3">
        <v>1.0</v>
      </c>
      <c r="J29" s="3">
        <v>1.0</v>
      </c>
      <c r="K29" s="3">
        <v>5.0</v>
      </c>
      <c r="L29" s="3">
        <v>5.0</v>
      </c>
      <c r="M29" s="3">
        <v>1.0</v>
      </c>
      <c r="N29" s="3">
        <v>4.0</v>
      </c>
      <c r="O29" s="3">
        <v>1.0</v>
      </c>
      <c r="P29" s="3">
        <v>1.0</v>
      </c>
      <c r="Q29" s="3">
        <v>5.0</v>
      </c>
      <c r="R29" s="3">
        <v>5.0</v>
      </c>
    </row>
    <row r="30">
      <c r="A30" s="3">
        <v>5.0</v>
      </c>
      <c r="B30" s="3">
        <v>5.0</v>
      </c>
      <c r="C30" s="3">
        <v>1.0</v>
      </c>
      <c r="D30" s="3">
        <v>5.0</v>
      </c>
      <c r="E30" s="3">
        <v>3.0</v>
      </c>
      <c r="F30" s="3">
        <v>4.0</v>
      </c>
      <c r="G30" s="3">
        <v>4.0</v>
      </c>
      <c r="H30" s="3">
        <v>1.0</v>
      </c>
      <c r="I30" s="3">
        <v>1.0</v>
      </c>
      <c r="J30" s="3">
        <v>1.0</v>
      </c>
      <c r="K30" s="3">
        <v>5.0</v>
      </c>
      <c r="L30" s="3">
        <v>1.0</v>
      </c>
      <c r="M30" s="3">
        <v>4.0</v>
      </c>
      <c r="N30" s="3">
        <v>1.0</v>
      </c>
      <c r="O30" s="3">
        <v>1.0</v>
      </c>
      <c r="P30" s="3">
        <v>1.0</v>
      </c>
      <c r="Q30" s="3">
        <v>1.0</v>
      </c>
      <c r="R30" s="3">
        <v>1.0</v>
      </c>
    </row>
    <row r="31">
      <c r="A31" s="3">
        <v>5.0</v>
      </c>
      <c r="B31" s="3">
        <v>5.0</v>
      </c>
      <c r="C31" s="3">
        <v>5.0</v>
      </c>
      <c r="D31" s="3">
        <v>5.0</v>
      </c>
      <c r="E31" s="3">
        <v>5.0</v>
      </c>
      <c r="F31" s="3">
        <v>5.0</v>
      </c>
      <c r="G31" s="3">
        <v>3.0</v>
      </c>
      <c r="H31" s="3">
        <v>1.0</v>
      </c>
      <c r="I31" s="3">
        <v>5.0</v>
      </c>
      <c r="J31" s="3">
        <v>3.0</v>
      </c>
      <c r="K31" s="3">
        <v>5.0</v>
      </c>
      <c r="L31" s="3">
        <v>1.0</v>
      </c>
      <c r="M31" s="3">
        <v>5.0</v>
      </c>
      <c r="N31" s="3">
        <v>5.0</v>
      </c>
      <c r="O31" s="3">
        <v>1.0</v>
      </c>
      <c r="P31" s="3">
        <v>1.0</v>
      </c>
      <c r="Q31" s="3">
        <v>1.0</v>
      </c>
      <c r="R31" s="3">
        <v>3.0</v>
      </c>
    </row>
    <row r="32">
      <c r="A32" s="3">
        <v>5.0</v>
      </c>
      <c r="B32" s="3">
        <v>1.0</v>
      </c>
      <c r="C32" s="3">
        <v>1.0</v>
      </c>
      <c r="D32" s="3">
        <v>1.0</v>
      </c>
      <c r="E32" s="3">
        <v>1.0</v>
      </c>
      <c r="F32" s="3">
        <v>1.0</v>
      </c>
      <c r="G32" s="3">
        <v>3.0</v>
      </c>
      <c r="H32" s="3">
        <v>1.0</v>
      </c>
      <c r="I32" s="3">
        <v>1.0</v>
      </c>
      <c r="J32" s="3">
        <v>1.0</v>
      </c>
      <c r="K32" s="3">
        <v>1.0</v>
      </c>
      <c r="L32" s="3">
        <v>1.0</v>
      </c>
      <c r="M32" s="3">
        <v>2.0</v>
      </c>
      <c r="N32" s="3">
        <v>1.0</v>
      </c>
      <c r="O32" s="3">
        <v>1.0</v>
      </c>
      <c r="P32" s="3">
        <v>1.0</v>
      </c>
      <c r="Q32" s="3">
        <v>1.0</v>
      </c>
      <c r="R32" s="3">
        <v>1.0</v>
      </c>
    </row>
    <row r="33">
      <c r="A33" s="3">
        <v>5.0</v>
      </c>
      <c r="B33" s="3">
        <v>1.0</v>
      </c>
      <c r="C33" s="3">
        <v>1.0</v>
      </c>
      <c r="D33" s="3">
        <v>5.0</v>
      </c>
      <c r="E33" s="3">
        <v>5.0</v>
      </c>
      <c r="F33" s="3">
        <v>1.0</v>
      </c>
      <c r="G33" s="3">
        <v>1.0</v>
      </c>
      <c r="H33" s="3">
        <v>1.0</v>
      </c>
      <c r="I33" s="3">
        <v>1.0</v>
      </c>
      <c r="J33" s="3">
        <v>1.0</v>
      </c>
      <c r="K33" s="3">
        <v>4.0</v>
      </c>
      <c r="L33" s="3">
        <v>1.0</v>
      </c>
      <c r="M33" s="3">
        <v>5.0</v>
      </c>
      <c r="N33" s="3">
        <v>1.0</v>
      </c>
      <c r="O33" s="3">
        <v>1.0</v>
      </c>
      <c r="P33" s="3">
        <v>1.0</v>
      </c>
      <c r="Q33" s="3">
        <v>1.0</v>
      </c>
      <c r="R33" s="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191</v>
      </c>
      <c r="AI1" s="3" t="s">
        <v>192</v>
      </c>
      <c r="AJ1" s="3" t="s">
        <v>193</v>
      </c>
      <c r="AK1" s="3" t="s">
        <v>194</v>
      </c>
      <c r="AL1" s="3" t="s">
        <v>195</v>
      </c>
      <c r="AM1" s="3" t="s">
        <v>196</v>
      </c>
    </row>
    <row r="2">
      <c r="A2" s="5" t="s">
        <v>172</v>
      </c>
      <c r="B2" s="3">
        <v>5.0</v>
      </c>
      <c r="C2" s="3">
        <v>5.0</v>
      </c>
      <c r="D2" s="3">
        <v>4.0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5.0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>
        <v>5.0</v>
      </c>
      <c r="AE2" s="3">
        <v>5.0</v>
      </c>
      <c r="AF2" s="3">
        <v>5.0</v>
      </c>
      <c r="AG2" s="3">
        <v>5.0</v>
      </c>
      <c r="AH2" s="3">
        <f t="shared" ref="AH2:AH19" si="1">MODE(B2:AG2)</f>
        <v>5</v>
      </c>
      <c r="AI2" s="3">
        <f t="shared" ref="AI2:AI19" si="2">AVERAGE(B2:AG2)</f>
        <v>4.96875</v>
      </c>
      <c r="AJ2" s="3">
        <f t="shared" ref="AJ2:AJ19" si="3">MEDIAN(B2:AG2)</f>
        <v>5</v>
      </c>
      <c r="AK2" s="3">
        <f t="shared" ref="AK2:AK19" si="4">STDEV(B2:AG2)</f>
        <v>0.1767766953</v>
      </c>
      <c r="AL2" s="3">
        <f t="shared" ref="AL2:AL19" si="5">MAX(B2:AG2)</f>
        <v>5</v>
      </c>
      <c r="AM2" s="3">
        <f t="shared" ref="AM2:AM19" si="6">MIN(B2:AG2)</f>
        <v>4</v>
      </c>
    </row>
    <row r="3">
      <c r="A3" s="5" t="s">
        <v>173</v>
      </c>
      <c r="B3" s="3">
        <v>1.0</v>
      </c>
      <c r="C3" s="3">
        <v>5.0</v>
      </c>
      <c r="D3" s="3">
        <v>1.0</v>
      </c>
      <c r="E3" s="3">
        <v>5.0</v>
      </c>
      <c r="F3" s="3">
        <v>1.0</v>
      </c>
      <c r="G3" s="3">
        <v>5.0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3.0</v>
      </c>
      <c r="Q3" s="3">
        <v>5.0</v>
      </c>
      <c r="R3" s="3">
        <v>1.0</v>
      </c>
      <c r="S3" s="3">
        <v>5.0</v>
      </c>
      <c r="T3" s="3">
        <v>5.0</v>
      </c>
      <c r="U3" s="3">
        <v>5.0</v>
      </c>
      <c r="V3" s="3">
        <v>5.0</v>
      </c>
      <c r="W3" s="3">
        <v>1.0</v>
      </c>
      <c r="X3" s="3">
        <v>5.0</v>
      </c>
      <c r="Y3" s="3">
        <v>5.0</v>
      </c>
      <c r="Z3" s="3">
        <v>5.0</v>
      </c>
      <c r="AA3" s="3">
        <v>5.0</v>
      </c>
      <c r="AB3" s="3">
        <v>5.0</v>
      </c>
      <c r="AC3" s="3">
        <v>5.0</v>
      </c>
      <c r="AD3" s="3">
        <v>5.0</v>
      </c>
      <c r="AE3" s="3">
        <v>5.0</v>
      </c>
      <c r="AF3" s="3">
        <v>1.0</v>
      </c>
      <c r="AG3" s="3">
        <v>1.0</v>
      </c>
      <c r="AH3" s="3">
        <f t="shared" si="1"/>
        <v>5</v>
      </c>
      <c r="AI3" s="3">
        <f t="shared" si="2"/>
        <v>4.0625</v>
      </c>
      <c r="AJ3" s="3">
        <f t="shared" si="3"/>
        <v>5</v>
      </c>
      <c r="AK3" s="3">
        <f t="shared" si="4"/>
        <v>1.683650029</v>
      </c>
      <c r="AL3" s="3">
        <f t="shared" si="5"/>
        <v>5</v>
      </c>
      <c r="AM3" s="3">
        <f t="shared" si="6"/>
        <v>1</v>
      </c>
    </row>
    <row r="4">
      <c r="A4" s="5" t="s">
        <v>174</v>
      </c>
      <c r="B4" s="3">
        <v>1.0</v>
      </c>
      <c r="C4" s="3">
        <v>1.0</v>
      </c>
      <c r="D4" s="3">
        <v>1.0</v>
      </c>
      <c r="E4" s="3">
        <v>1.0</v>
      </c>
      <c r="F4" s="3">
        <v>3.0</v>
      </c>
      <c r="G4" s="3">
        <v>5.0</v>
      </c>
      <c r="H4" s="3">
        <v>5.0</v>
      </c>
      <c r="I4" s="3">
        <v>2.0</v>
      </c>
      <c r="J4" s="3">
        <v>4.0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2.0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1.0</v>
      </c>
      <c r="X4" s="3">
        <v>5.0</v>
      </c>
      <c r="Y4" s="3">
        <v>5.0</v>
      </c>
      <c r="Z4" s="3">
        <v>5.0</v>
      </c>
      <c r="AA4" s="3">
        <v>5.0</v>
      </c>
      <c r="AB4" s="3">
        <v>1.0</v>
      </c>
      <c r="AC4" s="3">
        <v>5.0</v>
      </c>
      <c r="AD4" s="3">
        <v>1.0</v>
      </c>
      <c r="AE4" s="3">
        <v>5.0</v>
      </c>
      <c r="AF4" s="3">
        <v>1.0</v>
      </c>
      <c r="AG4" s="3">
        <v>1.0</v>
      </c>
      <c r="AH4" s="3">
        <f t="shared" si="1"/>
        <v>5</v>
      </c>
      <c r="AI4" s="3">
        <f t="shared" si="2"/>
        <v>3.59375</v>
      </c>
      <c r="AJ4" s="3">
        <f t="shared" si="3"/>
        <v>5</v>
      </c>
      <c r="AK4" s="3">
        <f t="shared" si="4"/>
        <v>1.829143551</v>
      </c>
      <c r="AL4" s="3">
        <f t="shared" si="5"/>
        <v>5</v>
      </c>
      <c r="AM4" s="3">
        <f t="shared" si="6"/>
        <v>1</v>
      </c>
    </row>
    <row r="5">
      <c r="A5" s="5" t="s">
        <v>175</v>
      </c>
      <c r="B5" s="3">
        <v>4.0</v>
      </c>
      <c r="C5" s="3">
        <v>4.0</v>
      </c>
      <c r="D5" s="3">
        <v>5.0</v>
      </c>
      <c r="E5" s="3">
        <v>5.0</v>
      </c>
      <c r="F5" s="3">
        <v>5.0</v>
      </c>
      <c r="G5" s="3">
        <v>5.0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>
        <v>5.0</v>
      </c>
      <c r="R5" s="3">
        <v>5.0</v>
      </c>
      <c r="S5" s="3">
        <v>5.0</v>
      </c>
      <c r="T5" s="3">
        <v>5.0</v>
      </c>
      <c r="U5" s="3">
        <v>5.0</v>
      </c>
      <c r="V5" s="3">
        <v>5.0</v>
      </c>
      <c r="W5" s="3">
        <v>5.0</v>
      </c>
      <c r="X5" s="3">
        <v>5.0</v>
      </c>
      <c r="Y5" s="3">
        <v>5.0</v>
      </c>
      <c r="Z5" s="3">
        <v>5.0</v>
      </c>
      <c r="AA5" s="3">
        <v>5.0</v>
      </c>
      <c r="AB5" s="3">
        <v>5.0</v>
      </c>
      <c r="AC5" s="3">
        <v>5.0</v>
      </c>
      <c r="AD5" s="3">
        <v>5.0</v>
      </c>
      <c r="AE5" s="3">
        <v>5.0</v>
      </c>
      <c r="AF5" s="3">
        <v>1.0</v>
      </c>
      <c r="AG5" s="3">
        <v>5.0</v>
      </c>
      <c r="AH5" s="3">
        <f t="shared" si="1"/>
        <v>5</v>
      </c>
      <c r="AI5" s="3">
        <f t="shared" si="2"/>
        <v>4.8125</v>
      </c>
      <c r="AJ5" s="3">
        <f t="shared" si="3"/>
        <v>5</v>
      </c>
      <c r="AK5" s="3">
        <f t="shared" si="4"/>
        <v>0.7378040653</v>
      </c>
      <c r="AL5" s="3">
        <f t="shared" si="5"/>
        <v>5</v>
      </c>
      <c r="AM5" s="3">
        <f t="shared" si="6"/>
        <v>1</v>
      </c>
    </row>
    <row r="6">
      <c r="A6" s="5" t="s">
        <v>176</v>
      </c>
      <c r="B6" s="3">
        <v>1.0</v>
      </c>
      <c r="C6" s="3">
        <v>4.0</v>
      </c>
      <c r="D6" s="3">
        <v>1.0</v>
      </c>
      <c r="E6" s="3">
        <v>5.0</v>
      </c>
      <c r="F6" s="3">
        <v>2.0</v>
      </c>
      <c r="G6" s="3">
        <v>5.0</v>
      </c>
      <c r="H6" s="3">
        <v>5.0</v>
      </c>
      <c r="I6" s="3">
        <v>1.0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4.0</v>
      </c>
      <c r="Q6" s="3">
        <v>4.0</v>
      </c>
      <c r="R6" s="3">
        <v>5.0</v>
      </c>
      <c r="S6" s="3">
        <v>5.0</v>
      </c>
      <c r="T6" s="3">
        <v>5.0</v>
      </c>
      <c r="U6" s="3">
        <v>5.0</v>
      </c>
      <c r="V6" s="3">
        <v>5.0</v>
      </c>
      <c r="W6" s="3">
        <v>5.0</v>
      </c>
      <c r="X6" s="3">
        <v>5.0</v>
      </c>
      <c r="Y6" s="3">
        <v>5.0</v>
      </c>
      <c r="Z6" s="3">
        <v>5.0</v>
      </c>
      <c r="AA6" s="3">
        <v>5.0</v>
      </c>
      <c r="AB6" s="3">
        <v>1.0</v>
      </c>
      <c r="AC6" s="3">
        <v>5.0</v>
      </c>
      <c r="AD6" s="3">
        <v>3.0</v>
      </c>
      <c r="AE6" s="3">
        <v>5.0</v>
      </c>
      <c r="AF6" s="3">
        <v>1.0</v>
      </c>
      <c r="AG6" s="3">
        <v>5.0</v>
      </c>
      <c r="AH6" s="3">
        <f t="shared" si="1"/>
        <v>5</v>
      </c>
      <c r="AI6" s="3">
        <f t="shared" si="2"/>
        <v>4.125</v>
      </c>
      <c r="AJ6" s="3">
        <f t="shared" si="3"/>
        <v>5</v>
      </c>
      <c r="AK6" s="3">
        <f t="shared" si="4"/>
        <v>1.518700633</v>
      </c>
      <c r="AL6" s="3">
        <f t="shared" si="5"/>
        <v>5</v>
      </c>
      <c r="AM6" s="3">
        <f t="shared" si="6"/>
        <v>1</v>
      </c>
    </row>
    <row r="7">
      <c r="A7" s="5" t="s">
        <v>177</v>
      </c>
      <c r="B7" s="3">
        <v>1.0</v>
      </c>
      <c r="C7" s="3">
        <v>1.0</v>
      </c>
      <c r="D7" s="3">
        <v>1.0</v>
      </c>
      <c r="E7" s="3">
        <v>1.0</v>
      </c>
      <c r="F7" s="3">
        <v>4.0</v>
      </c>
      <c r="G7" s="3">
        <v>5.0</v>
      </c>
      <c r="H7" s="3">
        <v>5.0</v>
      </c>
      <c r="I7" s="3">
        <v>5.0</v>
      </c>
      <c r="J7" s="3">
        <v>5.0</v>
      </c>
      <c r="K7" s="3">
        <v>1.0</v>
      </c>
      <c r="L7" s="3">
        <v>5.0</v>
      </c>
      <c r="M7" s="3">
        <v>5.0</v>
      </c>
      <c r="N7" s="3">
        <v>5.0</v>
      </c>
      <c r="O7" s="3">
        <v>5.0</v>
      </c>
      <c r="P7" s="3">
        <v>5.0</v>
      </c>
      <c r="Q7" s="3">
        <v>5.0</v>
      </c>
      <c r="R7" s="3">
        <v>5.0</v>
      </c>
      <c r="S7" s="3">
        <v>5.0</v>
      </c>
      <c r="T7" s="3">
        <v>5.0</v>
      </c>
      <c r="U7" s="3">
        <v>5.0</v>
      </c>
      <c r="V7" s="3">
        <v>5.0</v>
      </c>
      <c r="W7" s="3">
        <v>3.0</v>
      </c>
      <c r="X7" s="3">
        <v>5.0</v>
      </c>
      <c r="Y7" s="3">
        <v>5.0</v>
      </c>
      <c r="Z7" s="3">
        <v>5.0</v>
      </c>
      <c r="AA7" s="3">
        <v>5.0</v>
      </c>
      <c r="AB7" s="3">
        <v>1.0</v>
      </c>
      <c r="AC7" s="3">
        <v>5.0</v>
      </c>
      <c r="AD7" s="3">
        <v>4.0</v>
      </c>
      <c r="AE7" s="3">
        <v>5.0</v>
      </c>
      <c r="AF7" s="3">
        <v>1.0</v>
      </c>
      <c r="AG7" s="3">
        <v>1.0</v>
      </c>
      <c r="AH7" s="3">
        <f t="shared" si="1"/>
        <v>5</v>
      </c>
      <c r="AI7" s="3">
        <f t="shared" si="2"/>
        <v>3.875</v>
      </c>
      <c r="AJ7" s="3">
        <f t="shared" si="3"/>
        <v>5</v>
      </c>
      <c r="AK7" s="3">
        <f t="shared" si="4"/>
        <v>1.736700617</v>
      </c>
      <c r="AL7" s="3">
        <f t="shared" si="5"/>
        <v>5</v>
      </c>
      <c r="AM7" s="3">
        <f t="shared" si="6"/>
        <v>1</v>
      </c>
    </row>
    <row r="8">
      <c r="A8" s="5" t="s">
        <v>178</v>
      </c>
      <c r="B8" s="3">
        <v>1.0</v>
      </c>
      <c r="C8" s="3">
        <v>2.0</v>
      </c>
      <c r="D8" s="3">
        <v>1.0</v>
      </c>
      <c r="E8" s="3">
        <v>1.0</v>
      </c>
      <c r="F8" s="3">
        <v>1.0</v>
      </c>
      <c r="G8" s="3">
        <v>5.0</v>
      </c>
      <c r="H8" s="3">
        <v>5.0</v>
      </c>
      <c r="I8" s="3">
        <v>3.0</v>
      </c>
      <c r="J8" s="3">
        <v>4.0</v>
      </c>
      <c r="K8" s="3">
        <v>4.0</v>
      </c>
      <c r="L8" s="3">
        <v>3.0</v>
      </c>
      <c r="M8" s="3">
        <v>5.0</v>
      </c>
      <c r="N8" s="3">
        <v>5.0</v>
      </c>
      <c r="O8" s="3">
        <v>5.0</v>
      </c>
      <c r="P8" s="3">
        <v>2.0</v>
      </c>
      <c r="Q8" s="3">
        <v>5.0</v>
      </c>
      <c r="R8" s="3">
        <v>5.0</v>
      </c>
      <c r="S8" s="3">
        <v>5.0</v>
      </c>
      <c r="T8" s="3">
        <v>5.0</v>
      </c>
      <c r="U8" s="3">
        <v>5.0</v>
      </c>
      <c r="V8" s="3">
        <v>5.0</v>
      </c>
      <c r="W8" s="3">
        <v>5.0</v>
      </c>
      <c r="X8" s="3">
        <v>1.0</v>
      </c>
      <c r="Y8" s="3">
        <v>1.0</v>
      </c>
      <c r="Z8" s="3">
        <v>5.0</v>
      </c>
      <c r="AA8" s="3">
        <v>5.0</v>
      </c>
      <c r="AB8" s="3">
        <v>1.0</v>
      </c>
      <c r="AC8" s="3">
        <v>4.0</v>
      </c>
      <c r="AD8" s="3">
        <v>4.0</v>
      </c>
      <c r="AE8" s="3">
        <v>3.0</v>
      </c>
      <c r="AF8" s="3">
        <v>3.0</v>
      </c>
      <c r="AG8" s="3">
        <v>1.0</v>
      </c>
      <c r="AH8" s="3">
        <f t="shared" si="1"/>
        <v>5</v>
      </c>
      <c r="AI8" s="3">
        <f t="shared" si="2"/>
        <v>3.4375</v>
      </c>
      <c r="AJ8" s="3">
        <f t="shared" si="3"/>
        <v>4</v>
      </c>
      <c r="AK8" s="3">
        <f t="shared" si="4"/>
        <v>1.683650029</v>
      </c>
      <c r="AL8" s="3">
        <f t="shared" si="5"/>
        <v>5</v>
      </c>
      <c r="AM8" s="3">
        <f t="shared" si="6"/>
        <v>1</v>
      </c>
    </row>
    <row r="9">
      <c r="A9" s="5" t="s">
        <v>179</v>
      </c>
      <c r="B9" s="3">
        <v>1.0</v>
      </c>
      <c r="C9" s="3">
        <v>1.0</v>
      </c>
      <c r="D9" s="3">
        <v>1.0</v>
      </c>
      <c r="E9" s="3">
        <v>1.0</v>
      </c>
      <c r="F9" s="3">
        <v>1.0</v>
      </c>
      <c r="G9" s="3">
        <v>5.0</v>
      </c>
      <c r="H9" s="3">
        <v>4.0</v>
      </c>
      <c r="I9" s="3">
        <v>5.0</v>
      </c>
      <c r="J9" s="3">
        <v>5.0</v>
      </c>
      <c r="K9" s="3">
        <v>5.0</v>
      </c>
      <c r="L9" s="3">
        <v>5.0</v>
      </c>
      <c r="M9" s="3">
        <v>5.0</v>
      </c>
      <c r="N9" s="3">
        <v>1.0</v>
      </c>
      <c r="O9" s="3">
        <v>5.0</v>
      </c>
      <c r="P9" s="3">
        <v>1.0</v>
      </c>
      <c r="Q9" s="3">
        <v>5.0</v>
      </c>
      <c r="R9" s="3">
        <v>5.0</v>
      </c>
      <c r="S9" s="3">
        <v>5.0</v>
      </c>
      <c r="T9" s="3">
        <v>5.0</v>
      </c>
      <c r="U9" s="3">
        <v>5.0</v>
      </c>
      <c r="V9" s="3">
        <v>5.0</v>
      </c>
      <c r="W9" s="3">
        <v>1.0</v>
      </c>
      <c r="X9" s="3">
        <v>1.0</v>
      </c>
      <c r="Y9" s="3">
        <v>5.0</v>
      </c>
      <c r="Z9" s="3">
        <v>5.0</v>
      </c>
      <c r="AA9" s="3">
        <v>1.0</v>
      </c>
      <c r="AB9" s="3">
        <v>1.0</v>
      </c>
      <c r="AC9" s="3">
        <v>5.0</v>
      </c>
      <c r="AD9" s="3">
        <v>1.0</v>
      </c>
      <c r="AE9" s="3">
        <v>1.0</v>
      </c>
      <c r="AF9" s="3">
        <v>1.0</v>
      </c>
      <c r="AG9" s="3">
        <v>1.0</v>
      </c>
      <c r="AH9" s="3">
        <f t="shared" si="1"/>
        <v>5</v>
      </c>
      <c r="AI9" s="3">
        <f t="shared" si="2"/>
        <v>3.09375</v>
      </c>
      <c r="AJ9" s="3">
        <f t="shared" si="3"/>
        <v>4.5</v>
      </c>
      <c r="AK9" s="3">
        <f t="shared" si="4"/>
        <v>2.005787996</v>
      </c>
      <c r="AL9" s="3">
        <f t="shared" si="5"/>
        <v>5</v>
      </c>
      <c r="AM9" s="3">
        <f t="shared" si="6"/>
        <v>1</v>
      </c>
    </row>
    <row r="10">
      <c r="A10" s="5" t="s">
        <v>180</v>
      </c>
      <c r="B10" s="3">
        <v>3.0</v>
      </c>
      <c r="C10" s="3">
        <v>5.0</v>
      </c>
      <c r="D10" s="3">
        <v>1.0</v>
      </c>
      <c r="E10" s="3">
        <v>1.0</v>
      </c>
      <c r="F10" s="3">
        <v>2.0</v>
      </c>
      <c r="G10" s="3">
        <v>5.0</v>
      </c>
      <c r="H10" s="3">
        <v>5.0</v>
      </c>
      <c r="I10" s="3">
        <v>1.0</v>
      </c>
      <c r="J10" s="3">
        <v>5.0</v>
      </c>
      <c r="K10" s="3">
        <v>1.0</v>
      </c>
      <c r="L10" s="3">
        <v>5.0</v>
      </c>
      <c r="M10" s="3">
        <v>1.0</v>
      </c>
      <c r="N10" s="3">
        <v>1.0</v>
      </c>
      <c r="O10" s="3">
        <v>1.0</v>
      </c>
      <c r="P10" s="3">
        <v>1.0</v>
      </c>
      <c r="Q10" s="3">
        <v>3.0</v>
      </c>
      <c r="R10" s="3">
        <v>5.0</v>
      </c>
      <c r="S10" s="3">
        <v>5.0</v>
      </c>
      <c r="T10" s="3">
        <v>5.0</v>
      </c>
      <c r="U10" s="3">
        <v>5.0</v>
      </c>
      <c r="V10" s="3">
        <v>3.0</v>
      </c>
      <c r="W10" s="3">
        <v>1.0</v>
      </c>
      <c r="X10" s="3">
        <v>5.0</v>
      </c>
      <c r="Y10" s="3">
        <v>5.0</v>
      </c>
      <c r="Z10" s="3">
        <v>5.0</v>
      </c>
      <c r="AA10" s="3">
        <v>5.0</v>
      </c>
      <c r="AB10" s="3">
        <v>1.0</v>
      </c>
      <c r="AC10" s="3">
        <v>1.0</v>
      </c>
      <c r="AD10" s="3">
        <v>1.0</v>
      </c>
      <c r="AE10" s="3">
        <v>5.0</v>
      </c>
      <c r="AF10" s="3">
        <v>1.0</v>
      </c>
      <c r="AG10" s="3">
        <v>1.0</v>
      </c>
      <c r="AH10" s="3">
        <f t="shared" si="1"/>
        <v>5</v>
      </c>
      <c r="AI10" s="3">
        <f t="shared" si="2"/>
        <v>2.96875</v>
      </c>
      <c r="AJ10" s="3">
        <f t="shared" si="3"/>
        <v>3</v>
      </c>
      <c r="AK10" s="3">
        <f t="shared" si="4"/>
        <v>1.908966533</v>
      </c>
      <c r="AL10" s="3">
        <f t="shared" si="5"/>
        <v>5</v>
      </c>
      <c r="AM10" s="3">
        <f t="shared" si="6"/>
        <v>1</v>
      </c>
    </row>
    <row r="11">
      <c r="A11" s="5" t="s">
        <v>181</v>
      </c>
      <c r="B11" s="3">
        <v>1.0</v>
      </c>
      <c r="C11" s="3">
        <v>1.0</v>
      </c>
      <c r="D11" s="3">
        <v>1.0</v>
      </c>
      <c r="E11" s="3">
        <v>1.0</v>
      </c>
      <c r="F11" s="3">
        <v>1.0</v>
      </c>
      <c r="G11" s="3">
        <v>1.0</v>
      </c>
      <c r="H11" s="3">
        <v>4.0</v>
      </c>
      <c r="I11" s="3">
        <v>1.0</v>
      </c>
      <c r="J11" s="3">
        <v>1.0</v>
      </c>
      <c r="K11" s="3">
        <v>1.0</v>
      </c>
      <c r="L11" s="3">
        <v>3.0</v>
      </c>
      <c r="M11" s="3">
        <v>1.0</v>
      </c>
      <c r="N11" s="3">
        <v>5.0</v>
      </c>
      <c r="O11" s="3">
        <v>1.0</v>
      </c>
      <c r="P11" s="3">
        <v>1.0</v>
      </c>
      <c r="Q11" s="3">
        <v>5.0</v>
      </c>
      <c r="R11" s="3">
        <v>1.0</v>
      </c>
      <c r="S11" s="3">
        <v>1.0</v>
      </c>
      <c r="T11" s="3">
        <v>1.0</v>
      </c>
      <c r="U11" s="3">
        <v>5.0</v>
      </c>
      <c r="V11" s="3">
        <v>1.0</v>
      </c>
      <c r="W11" s="3">
        <v>1.0</v>
      </c>
      <c r="X11" s="3">
        <v>1.0</v>
      </c>
      <c r="Y11" s="3">
        <v>1.0</v>
      </c>
      <c r="Z11" s="3">
        <v>5.0</v>
      </c>
      <c r="AA11" s="3">
        <v>1.0</v>
      </c>
      <c r="AB11" s="3">
        <v>1.0</v>
      </c>
      <c r="AC11" s="3">
        <v>1.0</v>
      </c>
      <c r="AD11" s="3">
        <v>1.0</v>
      </c>
      <c r="AE11" s="3">
        <v>3.0</v>
      </c>
      <c r="AF11" s="3">
        <v>1.0</v>
      </c>
      <c r="AG11" s="3">
        <v>1.0</v>
      </c>
      <c r="AH11" s="3">
        <f t="shared" si="1"/>
        <v>1</v>
      </c>
      <c r="AI11" s="3">
        <f t="shared" si="2"/>
        <v>1.71875</v>
      </c>
      <c r="AJ11" s="3">
        <f t="shared" si="3"/>
        <v>1</v>
      </c>
      <c r="AK11" s="3">
        <f t="shared" si="4"/>
        <v>1.442094691</v>
      </c>
      <c r="AL11" s="3">
        <f t="shared" si="5"/>
        <v>5</v>
      </c>
      <c r="AM11" s="3">
        <f t="shared" si="6"/>
        <v>1</v>
      </c>
    </row>
    <row r="12">
      <c r="A12" s="5" t="s">
        <v>182</v>
      </c>
      <c r="B12" s="3">
        <v>1.0</v>
      </c>
      <c r="C12" s="3">
        <v>4.0</v>
      </c>
      <c r="D12" s="3">
        <v>1.0</v>
      </c>
      <c r="E12" s="3">
        <v>5.0</v>
      </c>
      <c r="F12" s="3">
        <v>1.0</v>
      </c>
      <c r="G12" s="3">
        <v>5.0</v>
      </c>
      <c r="H12" s="3">
        <v>5.0</v>
      </c>
      <c r="I12" s="3">
        <v>4.0</v>
      </c>
      <c r="J12" s="3">
        <v>5.0</v>
      </c>
      <c r="K12" s="3">
        <v>3.0</v>
      </c>
      <c r="L12" s="3">
        <v>4.0</v>
      </c>
      <c r="M12" s="3">
        <v>5.0</v>
      </c>
      <c r="N12" s="3">
        <v>5.0</v>
      </c>
      <c r="O12" s="3">
        <v>5.0</v>
      </c>
      <c r="P12" s="3">
        <v>5.0</v>
      </c>
      <c r="Q12" s="3">
        <v>5.0</v>
      </c>
      <c r="R12" s="3">
        <v>5.0</v>
      </c>
      <c r="S12" s="3">
        <v>5.0</v>
      </c>
      <c r="T12" s="3">
        <v>5.0</v>
      </c>
      <c r="U12" s="3">
        <v>5.0</v>
      </c>
      <c r="V12" s="3">
        <v>5.0</v>
      </c>
      <c r="W12" s="3">
        <v>5.0</v>
      </c>
      <c r="X12" s="3">
        <v>5.0</v>
      </c>
      <c r="Y12" s="3">
        <v>3.0</v>
      </c>
      <c r="Z12" s="3">
        <v>5.0</v>
      </c>
      <c r="AA12" s="3">
        <v>5.0</v>
      </c>
      <c r="AB12" s="3">
        <v>1.0</v>
      </c>
      <c r="AC12" s="3">
        <v>5.0</v>
      </c>
      <c r="AD12" s="3">
        <v>5.0</v>
      </c>
      <c r="AE12" s="3">
        <v>5.0</v>
      </c>
      <c r="AF12" s="3">
        <v>1.0</v>
      </c>
      <c r="AG12" s="3">
        <v>4.0</v>
      </c>
      <c r="AH12" s="3">
        <f t="shared" si="1"/>
        <v>5</v>
      </c>
      <c r="AI12" s="3">
        <f t="shared" si="2"/>
        <v>4.125</v>
      </c>
      <c r="AJ12" s="3">
        <f t="shared" si="3"/>
        <v>5</v>
      </c>
      <c r="AK12" s="3">
        <f t="shared" si="4"/>
        <v>1.475608131</v>
      </c>
      <c r="AL12" s="3">
        <f t="shared" si="5"/>
        <v>5</v>
      </c>
      <c r="AM12" s="3">
        <f t="shared" si="6"/>
        <v>1</v>
      </c>
    </row>
    <row r="13">
      <c r="A13" s="5" t="s">
        <v>183</v>
      </c>
      <c r="B13" s="3">
        <v>1.0</v>
      </c>
      <c r="C13" s="3">
        <v>1.0</v>
      </c>
      <c r="D13" s="3">
        <v>1.0</v>
      </c>
      <c r="E13" s="3">
        <v>1.0</v>
      </c>
      <c r="F13" s="3">
        <v>1.0</v>
      </c>
      <c r="G13" s="3">
        <v>2.0</v>
      </c>
      <c r="H13" s="3">
        <v>5.0</v>
      </c>
      <c r="I13" s="3">
        <v>1.0</v>
      </c>
      <c r="J13" s="3">
        <v>1.0</v>
      </c>
      <c r="K13" s="3">
        <v>1.0</v>
      </c>
      <c r="L13" s="3">
        <v>5.0</v>
      </c>
      <c r="M13" s="3">
        <v>5.0</v>
      </c>
      <c r="N13" s="3">
        <v>2.0</v>
      </c>
      <c r="O13" s="3">
        <v>1.0</v>
      </c>
      <c r="P13" s="3">
        <v>1.0</v>
      </c>
      <c r="Q13" s="3">
        <v>5.0</v>
      </c>
      <c r="R13" s="3">
        <v>5.0</v>
      </c>
      <c r="S13" s="3">
        <v>5.0</v>
      </c>
      <c r="T13" s="3">
        <v>1.0</v>
      </c>
      <c r="U13" s="3">
        <v>5.0</v>
      </c>
      <c r="V13" s="3">
        <v>5.0</v>
      </c>
      <c r="W13" s="3">
        <v>1.0</v>
      </c>
      <c r="X13" s="3">
        <v>1.0</v>
      </c>
      <c r="Y13" s="3">
        <v>1.0</v>
      </c>
      <c r="Z13" s="3">
        <v>5.0</v>
      </c>
      <c r="AA13" s="3">
        <v>1.0</v>
      </c>
      <c r="AB13" s="3">
        <v>1.0</v>
      </c>
      <c r="AC13" s="3">
        <v>5.0</v>
      </c>
      <c r="AD13" s="3">
        <v>1.0</v>
      </c>
      <c r="AE13" s="3">
        <v>1.0</v>
      </c>
      <c r="AF13" s="3">
        <v>1.0</v>
      </c>
      <c r="AG13" s="3">
        <v>1.0</v>
      </c>
      <c r="AH13" s="3">
        <f t="shared" si="1"/>
        <v>1</v>
      </c>
      <c r="AI13" s="3">
        <f t="shared" si="2"/>
        <v>2.3125</v>
      </c>
      <c r="AJ13" s="3">
        <f t="shared" si="3"/>
        <v>1</v>
      </c>
      <c r="AK13" s="3">
        <f t="shared" si="4"/>
        <v>1.856766179</v>
      </c>
      <c r="AL13" s="3">
        <f t="shared" si="5"/>
        <v>5</v>
      </c>
      <c r="AM13" s="3">
        <f t="shared" si="6"/>
        <v>1</v>
      </c>
    </row>
    <row r="14">
      <c r="A14" s="5" t="s">
        <v>184</v>
      </c>
      <c r="B14" s="3">
        <v>1.0</v>
      </c>
      <c r="C14" s="3">
        <v>5.0</v>
      </c>
      <c r="D14" s="3">
        <v>1.0</v>
      </c>
      <c r="E14" s="3">
        <v>1.0</v>
      </c>
      <c r="F14" s="3">
        <v>1.0</v>
      </c>
      <c r="G14" s="3">
        <v>1.0</v>
      </c>
      <c r="H14" s="3">
        <v>5.0</v>
      </c>
      <c r="I14" s="3">
        <v>5.0</v>
      </c>
      <c r="J14" s="3">
        <v>5.0</v>
      </c>
      <c r="K14" s="3">
        <v>5.0</v>
      </c>
      <c r="L14" s="3">
        <v>5.0</v>
      </c>
      <c r="M14" s="3">
        <v>5.0</v>
      </c>
      <c r="N14" s="3">
        <v>1.0</v>
      </c>
      <c r="O14" s="3">
        <v>5.0</v>
      </c>
      <c r="P14" s="3">
        <v>2.0</v>
      </c>
      <c r="Q14" s="3">
        <v>1.0</v>
      </c>
      <c r="R14" s="3">
        <v>5.0</v>
      </c>
      <c r="S14" s="3">
        <v>5.0</v>
      </c>
      <c r="T14" s="3">
        <v>1.0</v>
      </c>
      <c r="U14" s="3">
        <v>5.0</v>
      </c>
      <c r="V14" s="3">
        <v>5.0</v>
      </c>
      <c r="W14" s="3">
        <v>1.0</v>
      </c>
      <c r="X14" s="3">
        <v>1.0</v>
      </c>
      <c r="Y14" s="3">
        <v>1.0</v>
      </c>
      <c r="Z14" s="3">
        <v>5.0</v>
      </c>
      <c r="AA14" s="3">
        <v>1.0</v>
      </c>
      <c r="AB14" s="3">
        <v>1.0</v>
      </c>
      <c r="AC14" s="3">
        <v>1.0</v>
      </c>
      <c r="AD14" s="3">
        <v>4.0</v>
      </c>
      <c r="AE14" s="3">
        <v>5.0</v>
      </c>
      <c r="AF14" s="3">
        <v>2.0</v>
      </c>
      <c r="AG14" s="3">
        <v>5.0</v>
      </c>
      <c r="AH14" s="3">
        <f t="shared" si="1"/>
        <v>5</v>
      </c>
      <c r="AI14" s="3">
        <f t="shared" si="2"/>
        <v>3.03125</v>
      </c>
      <c r="AJ14" s="3">
        <f t="shared" si="3"/>
        <v>3</v>
      </c>
      <c r="AK14" s="3">
        <f t="shared" si="4"/>
        <v>1.959005261</v>
      </c>
      <c r="AL14" s="3">
        <f t="shared" si="5"/>
        <v>5</v>
      </c>
      <c r="AM14" s="3">
        <f t="shared" si="6"/>
        <v>1</v>
      </c>
    </row>
    <row r="15">
      <c r="A15" s="5" t="s">
        <v>185</v>
      </c>
      <c r="B15" s="3">
        <v>1.0</v>
      </c>
      <c r="C15" s="3">
        <v>1.0</v>
      </c>
      <c r="D15" s="3">
        <v>1.0</v>
      </c>
      <c r="E15" s="3">
        <v>1.0</v>
      </c>
      <c r="F15" s="3">
        <v>1.0</v>
      </c>
      <c r="G15" s="3">
        <v>1.0</v>
      </c>
      <c r="H15" s="3">
        <v>1.0</v>
      </c>
      <c r="I15" s="3">
        <v>1.0</v>
      </c>
      <c r="J15" s="3">
        <v>1.0</v>
      </c>
      <c r="K15" s="3">
        <v>1.0</v>
      </c>
      <c r="L15" s="3">
        <v>1.0</v>
      </c>
      <c r="M15" s="3">
        <v>5.0</v>
      </c>
      <c r="N15" s="3">
        <v>5.0</v>
      </c>
      <c r="O15" s="3">
        <v>1.0</v>
      </c>
      <c r="P15" s="3">
        <v>2.0</v>
      </c>
      <c r="Q15" s="3">
        <v>5.0</v>
      </c>
      <c r="R15" s="3">
        <v>5.0</v>
      </c>
      <c r="S15" s="3">
        <v>1.0</v>
      </c>
      <c r="T15" s="3">
        <v>1.0</v>
      </c>
      <c r="U15" s="3">
        <v>5.0</v>
      </c>
      <c r="V15" s="3">
        <v>5.0</v>
      </c>
      <c r="W15" s="3">
        <v>1.0</v>
      </c>
      <c r="X15" s="3">
        <v>1.0</v>
      </c>
      <c r="Y15" s="3">
        <v>1.0</v>
      </c>
      <c r="Z15" s="3">
        <v>5.0</v>
      </c>
      <c r="AA15" s="3">
        <v>1.0</v>
      </c>
      <c r="AB15" s="3">
        <v>1.0</v>
      </c>
      <c r="AC15" s="3">
        <v>4.0</v>
      </c>
      <c r="AD15" s="3">
        <v>1.0</v>
      </c>
      <c r="AE15" s="3">
        <v>5.0</v>
      </c>
      <c r="AF15" s="3">
        <v>1.0</v>
      </c>
      <c r="AG15" s="3">
        <v>1.0</v>
      </c>
      <c r="AH15" s="3">
        <f t="shared" si="1"/>
        <v>1</v>
      </c>
      <c r="AI15" s="3">
        <f t="shared" si="2"/>
        <v>2.125</v>
      </c>
      <c r="AJ15" s="3">
        <f t="shared" si="3"/>
        <v>1</v>
      </c>
      <c r="AK15" s="3">
        <f t="shared" si="4"/>
        <v>1.773460259</v>
      </c>
      <c r="AL15" s="3">
        <f t="shared" si="5"/>
        <v>5</v>
      </c>
      <c r="AM15" s="3">
        <f t="shared" si="6"/>
        <v>1</v>
      </c>
    </row>
    <row r="16">
      <c r="A16" s="5" t="s">
        <v>186</v>
      </c>
      <c r="B16" s="3">
        <v>1.0</v>
      </c>
      <c r="C16" s="3">
        <v>1.0</v>
      </c>
      <c r="D16" s="3">
        <v>1.0</v>
      </c>
      <c r="E16" s="3">
        <v>1.0</v>
      </c>
      <c r="F16" s="3">
        <v>1.0</v>
      </c>
      <c r="G16" s="3">
        <v>1.0</v>
      </c>
      <c r="H16" s="3">
        <v>5.0</v>
      </c>
      <c r="I16" s="3">
        <v>5.0</v>
      </c>
      <c r="J16" s="3">
        <v>5.0</v>
      </c>
      <c r="K16" s="3">
        <v>5.0</v>
      </c>
      <c r="L16" s="3">
        <v>5.0</v>
      </c>
      <c r="M16" s="3">
        <v>2.0</v>
      </c>
      <c r="N16" s="3">
        <v>4.0</v>
      </c>
      <c r="O16" s="3">
        <v>1.0</v>
      </c>
      <c r="P16" s="3">
        <v>1.0</v>
      </c>
      <c r="Q16" s="3">
        <v>5.0</v>
      </c>
      <c r="R16" s="3">
        <v>5.0</v>
      </c>
      <c r="S16" s="3">
        <v>1.0</v>
      </c>
      <c r="T16" s="3">
        <v>1.0</v>
      </c>
      <c r="U16" s="3">
        <v>5.0</v>
      </c>
      <c r="V16" s="3">
        <v>5.0</v>
      </c>
      <c r="W16" s="3">
        <v>1.0</v>
      </c>
      <c r="X16" s="3">
        <v>1.0</v>
      </c>
      <c r="Y16" s="3">
        <v>4.0</v>
      </c>
      <c r="Z16" s="3">
        <v>5.0</v>
      </c>
      <c r="AA16" s="3">
        <v>1.0</v>
      </c>
      <c r="AB16" s="3">
        <v>1.0</v>
      </c>
      <c r="AC16" s="3">
        <v>1.0</v>
      </c>
      <c r="AD16" s="3">
        <v>1.0</v>
      </c>
      <c r="AE16" s="3">
        <v>1.0</v>
      </c>
      <c r="AF16" s="3">
        <v>1.0</v>
      </c>
      <c r="AG16" s="3">
        <v>1.0</v>
      </c>
      <c r="AH16" s="3">
        <f t="shared" si="1"/>
        <v>1</v>
      </c>
      <c r="AI16" s="3">
        <f t="shared" si="2"/>
        <v>2.46875</v>
      </c>
      <c r="AJ16" s="3">
        <f t="shared" si="3"/>
        <v>1</v>
      </c>
      <c r="AK16" s="3">
        <f t="shared" si="4"/>
        <v>1.883448707</v>
      </c>
      <c r="AL16" s="3">
        <f t="shared" si="5"/>
        <v>5</v>
      </c>
      <c r="AM16" s="3">
        <f t="shared" si="6"/>
        <v>1</v>
      </c>
    </row>
    <row r="17">
      <c r="A17" s="5" t="s">
        <v>187</v>
      </c>
      <c r="B17" s="3">
        <v>1.0</v>
      </c>
      <c r="C17" s="3">
        <v>1.0</v>
      </c>
      <c r="D17" s="3">
        <v>1.0</v>
      </c>
      <c r="E17" s="3">
        <v>1.0</v>
      </c>
      <c r="F17" s="3">
        <v>1.0</v>
      </c>
      <c r="G17" s="3">
        <v>2.0</v>
      </c>
      <c r="H17" s="3">
        <v>2.0</v>
      </c>
      <c r="I17" s="3">
        <v>3.0</v>
      </c>
      <c r="J17" s="3">
        <v>1.0</v>
      </c>
      <c r="K17" s="3">
        <v>1.0</v>
      </c>
      <c r="L17" s="3">
        <v>1.0</v>
      </c>
      <c r="M17" s="3">
        <v>1.0</v>
      </c>
      <c r="N17" s="3">
        <v>4.0</v>
      </c>
      <c r="O17" s="3">
        <v>1.0</v>
      </c>
      <c r="P17" s="3">
        <v>3.0</v>
      </c>
      <c r="Q17" s="3">
        <v>4.0</v>
      </c>
      <c r="R17" s="3">
        <v>5.0</v>
      </c>
      <c r="S17" s="3">
        <v>1.0</v>
      </c>
      <c r="T17" s="3">
        <v>1.0</v>
      </c>
      <c r="U17" s="3">
        <v>5.0</v>
      </c>
      <c r="V17" s="3">
        <v>1.0</v>
      </c>
      <c r="W17" s="3">
        <v>1.0</v>
      </c>
      <c r="X17" s="3">
        <v>1.0</v>
      </c>
      <c r="Y17" s="3">
        <v>1.0</v>
      </c>
      <c r="Z17" s="3">
        <v>1.0</v>
      </c>
      <c r="AA17" s="3">
        <v>1.0</v>
      </c>
      <c r="AB17" s="3">
        <v>1.0</v>
      </c>
      <c r="AC17" s="3">
        <v>1.0</v>
      </c>
      <c r="AD17" s="3">
        <v>1.0</v>
      </c>
      <c r="AE17" s="3">
        <v>1.0</v>
      </c>
      <c r="AF17" s="3">
        <v>1.0</v>
      </c>
      <c r="AG17" s="3">
        <v>1.0</v>
      </c>
      <c r="AH17" s="3">
        <f t="shared" si="1"/>
        <v>1</v>
      </c>
      <c r="AI17" s="3">
        <f t="shared" si="2"/>
        <v>1.625</v>
      </c>
      <c r="AJ17" s="3">
        <f t="shared" si="3"/>
        <v>1</v>
      </c>
      <c r="AK17" s="3">
        <f t="shared" si="4"/>
        <v>1.23784412</v>
      </c>
      <c r="AL17" s="3">
        <f t="shared" si="5"/>
        <v>5</v>
      </c>
      <c r="AM17" s="3">
        <f t="shared" si="6"/>
        <v>1</v>
      </c>
    </row>
    <row r="18">
      <c r="A18" s="5" t="s">
        <v>188</v>
      </c>
      <c r="B18" s="3">
        <v>1.0</v>
      </c>
      <c r="C18" s="3">
        <v>1.0</v>
      </c>
      <c r="D18" s="3">
        <v>1.0</v>
      </c>
      <c r="E18" s="3">
        <v>1.0</v>
      </c>
      <c r="F18" s="3">
        <v>1.0</v>
      </c>
      <c r="G18" s="3">
        <v>1.0</v>
      </c>
      <c r="H18" s="3">
        <v>5.0</v>
      </c>
      <c r="I18" s="3">
        <v>1.0</v>
      </c>
      <c r="J18" s="3">
        <v>1.0</v>
      </c>
      <c r="K18" s="3">
        <v>4.0</v>
      </c>
      <c r="L18" s="3">
        <v>5.0</v>
      </c>
      <c r="M18" s="3">
        <v>5.0</v>
      </c>
      <c r="N18" s="3">
        <v>1.0</v>
      </c>
      <c r="O18" s="3">
        <v>1.0</v>
      </c>
      <c r="P18" s="3">
        <v>4.0</v>
      </c>
      <c r="Q18" s="3">
        <v>5.0</v>
      </c>
      <c r="R18" s="3">
        <v>5.0</v>
      </c>
      <c r="S18" s="3">
        <v>5.0</v>
      </c>
      <c r="T18" s="3">
        <v>1.0</v>
      </c>
      <c r="U18" s="3">
        <v>5.0</v>
      </c>
      <c r="V18" s="3">
        <v>5.0</v>
      </c>
      <c r="W18" s="3">
        <v>1.0</v>
      </c>
      <c r="X18" s="3">
        <v>1.0</v>
      </c>
      <c r="Y18" s="3">
        <v>4.0</v>
      </c>
      <c r="Z18" s="3">
        <v>5.0</v>
      </c>
      <c r="AA18" s="3">
        <v>1.0</v>
      </c>
      <c r="AB18" s="3">
        <v>1.0</v>
      </c>
      <c r="AC18" s="3">
        <v>5.0</v>
      </c>
      <c r="AD18" s="3">
        <v>1.0</v>
      </c>
      <c r="AE18" s="3">
        <v>1.0</v>
      </c>
      <c r="AF18" s="3">
        <v>1.0</v>
      </c>
      <c r="AG18" s="3">
        <v>1.0</v>
      </c>
      <c r="AH18" s="3">
        <f t="shared" si="1"/>
        <v>1</v>
      </c>
      <c r="AI18" s="3">
        <f t="shared" si="2"/>
        <v>2.53125</v>
      </c>
      <c r="AJ18" s="3">
        <f t="shared" si="3"/>
        <v>1</v>
      </c>
      <c r="AK18" s="3">
        <f t="shared" si="4"/>
        <v>1.900498661</v>
      </c>
      <c r="AL18" s="3">
        <f t="shared" si="5"/>
        <v>5</v>
      </c>
      <c r="AM18" s="3">
        <f t="shared" si="6"/>
        <v>1</v>
      </c>
    </row>
    <row r="19">
      <c r="A19" s="5" t="s">
        <v>189</v>
      </c>
      <c r="B19" s="3">
        <v>1.0</v>
      </c>
      <c r="C19" s="3">
        <v>1.0</v>
      </c>
      <c r="D19" s="3">
        <v>1.0</v>
      </c>
      <c r="E19" s="3">
        <v>1.0</v>
      </c>
      <c r="F19" s="3">
        <v>1.0</v>
      </c>
      <c r="G19" s="3">
        <v>5.0</v>
      </c>
      <c r="H19" s="3">
        <v>5.0</v>
      </c>
      <c r="I19" s="3">
        <v>1.0</v>
      </c>
      <c r="J19" s="3">
        <v>5.0</v>
      </c>
      <c r="K19" s="3">
        <v>3.0</v>
      </c>
      <c r="L19" s="3">
        <v>5.0</v>
      </c>
      <c r="M19" s="3">
        <v>5.0</v>
      </c>
      <c r="N19" s="3">
        <v>5.0</v>
      </c>
      <c r="O19" s="3">
        <v>1.0</v>
      </c>
      <c r="P19" s="3">
        <v>4.0</v>
      </c>
      <c r="Q19" s="3">
        <v>4.0</v>
      </c>
      <c r="R19" s="3">
        <v>5.0</v>
      </c>
      <c r="S19" s="3">
        <v>1.0</v>
      </c>
      <c r="T19" s="3">
        <v>1.0</v>
      </c>
      <c r="U19" s="3">
        <v>5.0</v>
      </c>
      <c r="V19" s="3">
        <v>1.0</v>
      </c>
      <c r="W19" s="3">
        <v>1.0</v>
      </c>
      <c r="X19" s="3">
        <v>1.0</v>
      </c>
      <c r="Y19" s="3">
        <v>3.0</v>
      </c>
      <c r="Z19" s="3">
        <v>5.0</v>
      </c>
      <c r="AA19" s="3">
        <v>1.0</v>
      </c>
      <c r="AB19" s="3">
        <v>1.0</v>
      </c>
      <c r="AC19" s="3">
        <v>5.0</v>
      </c>
      <c r="AD19" s="3">
        <v>1.0</v>
      </c>
      <c r="AE19" s="3">
        <v>3.0</v>
      </c>
      <c r="AF19" s="3">
        <v>1.0</v>
      </c>
      <c r="AG19" s="3">
        <v>1.0</v>
      </c>
      <c r="AH19" s="3">
        <f t="shared" si="1"/>
        <v>1</v>
      </c>
      <c r="AI19" s="3">
        <f t="shared" si="2"/>
        <v>2.625</v>
      </c>
      <c r="AJ19" s="3">
        <f t="shared" si="3"/>
        <v>1</v>
      </c>
      <c r="AK19" s="3">
        <f t="shared" si="4"/>
        <v>1.844783404</v>
      </c>
      <c r="AL19" s="3">
        <f t="shared" si="5"/>
        <v>5</v>
      </c>
      <c r="AM19" s="3">
        <f t="shared" si="6"/>
        <v>1</v>
      </c>
    </row>
    <row r="21">
      <c r="B21" s="3" t="s">
        <v>191</v>
      </c>
      <c r="C21" s="3" t="s">
        <v>192</v>
      </c>
      <c r="D21" s="3" t="s">
        <v>193</v>
      </c>
      <c r="E21" s="3" t="s">
        <v>194</v>
      </c>
      <c r="F21" s="3" t="s">
        <v>195</v>
      </c>
      <c r="G21" s="3" t="s">
        <v>196</v>
      </c>
    </row>
    <row r="22">
      <c r="A22" s="3" t="s">
        <v>197</v>
      </c>
      <c r="B22" s="3">
        <f>MODE(B2:AG3)</f>
        <v>5</v>
      </c>
      <c r="C22" s="3">
        <f>AVERAGE(B2:AG3)</f>
        <v>4.515625</v>
      </c>
      <c r="D22" s="3">
        <f>MEDIAN(B2:AG3)</f>
        <v>5</v>
      </c>
      <c r="E22" s="3">
        <f>STDEV(B2:AG3)</f>
        <v>1.272320558</v>
      </c>
      <c r="F22" s="3">
        <f>MAX(B2:AG3)</f>
        <v>5</v>
      </c>
      <c r="G22" s="3">
        <f>MIN(B2:AG3)</f>
        <v>1</v>
      </c>
    </row>
    <row r="23">
      <c r="A23" s="3" t="s">
        <v>198</v>
      </c>
      <c r="B23" s="3">
        <f>MODE(B4:AG5)</f>
        <v>5</v>
      </c>
      <c r="C23" s="3">
        <f>AVERAGE(B4:AG5)</f>
        <v>4.203125</v>
      </c>
      <c r="D23" s="3">
        <f>MEDIAN(B4:AG5)</f>
        <v>5</v>
      </c>
      <c r="E23" s="3">
        <f>STDEV(B4:AG5)</f>
        <v>1.513743258</v>
      </c>
      <c r="F23" s="3">
        <f>MAX(B4:AG5)</f>
        <v>5</v>
      </c>
      <c r="G23" s="3">
        <f>MIN(B4:AG5)</f>
        <v>1</v>
      </c>
    </row>
    <row r="24">
      <c r="A24" s="3" t="s">
        <v>199</v>
      </c>
      <c r="B24" s="3">
        <f>MODE(B6:AG7)</f>
        <v>5</v>
      </c>
      <c r="C24" s="3">
        <f>AVERAGE(B6:AG7)</f>
        <v>4</v>
      </c>
      <c r="D24" s="3">
        <f>MEDIAN(B6:AG7)</f>
        <v>5</v>
      </c>
      <c r="E24" s="3">
        <f>STDEV(B6:AG7)</f>
        <v>1.623243862</v>
      </c>
      <c r="F24" s="3">
        <f>MAX(B6:AG7)</f>
        <v>5</v>
      </c>
      <c r="G24" s="3">
        <f>MIN(B6:AG7)</f>
        <v>1</v>
      </c>
    </row>
    <row r="25">
      <c r="A25" s="3" t="s">
        <v>200</v>
      </c>
      <c r="B25" s="3">
        <f>MODE(B8:AG9)</f>
        <v>5</v>
      </c>
      <c r="C25" s="3">
        <f>AVERAGE(B8:AG9)</f>
        <v>3.265625</v>
      </c>
      <c r="D25" s="3">
        <f>MEDIAN(B8:AG9)</f>
        <v>4</v>
      </c>
      <c r="E25" s="3">
        <f>STDEV(B8:AG9)</f>
        <v>1.845132485</v>
      </c>
      <c r="F25" s="3">
        <f>MAX(B8:AG9)</f>
        <v>5</v>
      </c>
      <c r="G25" s="3">
        <f>MIN(B8:AG9)</f>
        <v>1</v>
      </c>
    </row>
    <row r="26">
      <c r="A26" s="3" t="s">
        <v>201</v>
      </c>
      <c r="B26" s="3">
        <f>MODE(B10:AG11)</f>
        <v>1</v>
      </c>
      <c r="C26" s="3">
        <f>AVERAGE(B10:AG11)</f>
        <v>2.34375</v>
      </c>
      <c r="D26" s="3">
        <f>MEDIAN(B10:AG11)</f>
        <v>1</v>
      </c>
      <c r="E26" s="3">
        <f>STDEV(B10:AG11)</f>
        <v>1.792566219</v>
      </c>
      <c r="F26" s="3">
        <f>MAX(B10:AG11)</f>
        <v>5</v>
      </c>
      <c r="G26" s="3">
        <f>MIN(B10:AG11)</f>
        <v>1</v>
      </c>
    </row>
    <row r="27">
      <c r="A27" s="3" t="s">
        <v>202</v>
      </c>
      <c r="B27" s="3">
        <f>MODE(B12:AG13)</f>
        <v>5</v>
      </c>
      <c r="C27" s="3">
        <f>AVERAGE(B12:AG13)</f>
        <v>3.21875</v>
      </c>
      <c r="D27" s="3">
        <f>MEDIAN(B12:AG13)</f>
        <v>4</v>
      </c>
      <c r="E27" s="3">
        <f>STDEV(B12:AG13)</f>
        <v>1.897941659</v>
      </c>
      <c r="F27" s="3">
        <f>MAX(B12:AG13)</f>
        <v>5</v>
      </c>
      <c r="G27" s="3">
        <f>MIN(B12:AG13)</f>
        <v>1</v>
      </c>
    </row>
    <row r="28">
      <c r="A28" s="3" t="s">
        <v>203</v>
      </c>
      <c r="B28" s="3">
        <f>MODE(B14:AG15)</f>
        <v>1</v>
      </c>
      <c r="C28" s="3">
        <f>AVERAGE(B14:AG15)</f>
        <v>2.578125</v>
      </c>
      <c r="D28" s="3">
        <f>MEDIAN(B14:AG15)</f>
        <v>1</v>
      </c>
      <c r="E28" s="3">
        <f>STDEV(B14:AG15)</f>
        <v>1.909081783</v>
      </c>
      <c r="F28" s="3">
        <f>MAX(B14:AG15)</f>
        <v>5</v>
      </c>
      <c r="G28" s="3">
        <f>MIN(B14:AG15)</f>
        <v>1</v>
      </c>
    </row>
    <row r="29">
      <c r="A29" s="3" t="s">
        <v>204</v>
      </c>
      <c r="B29" s="3">
        <f>MODE(B16:AG17)</f>
        <v>1</v>
      </c>
      <c r="C29" s="3">
        <f>AVERAGE(B16:AG17)</f>
        <v>2.046875</v>
      </c>
      <c r="D29" s="3">
        <f>MEDIAN(B16:AG17)</f>
        <v>1</v>
      </c>
      <c r="E29" s="3">
        <f>STDEV(B16:AG17)</f>
        <v>1.637164482</v>
      </c>
      <c r="F29" s="3">
        <f>MAX(B16:AG17)</f>
        <v>5</v>
      </c>
      <c r="G29" s="3">
        <f>MIN(B16:AG17)</f>
        <v>1</v>
      </c>
    </row>
    <row r="30">
      <c r="A30" s="3" t="s">
        <v>205</v>
      </c>
      <c r="B30" s="3">
        <f>MODE(B18:AG19)</f>
        <v>1</v>
      </c>
      <c r="C30" s="3">
        <f>AVERAGE(B18:AG19)</f>
        <v>2.578125</v>
      </c>
      <c r="D30" s="3">
        <f>MEDIAN(B18:AG19)</f>
        <v>1</v>
      </c>
      <c r="E30" s="3">
        <f>STDEV(B18:AG19)</f>
        <v>1.858525508</v>
      </c>
      <c r="F30" s="3">
        <f>MAX(B18:AG19)</f>
        <v>5</v>
      </c>
      <c r="G30" s="3">
        <f>MIN(B18:AG19)</f>
        <v>1</v>
      </c>
    </row>
    <row r="32">
      <c r="B32" s="3" t="s">
        <v>192</v>
      </c>
      <c r="C32" s="6" t="s">
        <v>193</v>
      </c>
      <c r="D32" s="6"/>
      <c r="E32" s="6"/>
    </row>
    <row r="33">
      <c r="A33" s="3" t="s">
        <v>197</v>
      </c>
      <c r="B33" s="3">
        <v>4.515625</v>
      </c>
      <c r="C33" s="7">
        <v>5.0</v>
      </c>
    </row>
    <row r="34">
      <c r="A34" s="3" t="s">
        <v>198</v>
      </c>
      <c r="B34" s="3">
        <v>4.203125</v>
      </c>
      <c r="C34" s="3">
        <v>5.0</v>
      </c>
    </row>
    <row r="35">
      <c r="A35" s="3" t="s">
        <v>199</v>
      </c>
      <c r="B35" s="3">
        <v>4.0</v>
      </c>
      <c r="C35" s="3">
        <v>5.0</v>
      </c>
    </row>
    <row r="36">
      <c r="A36" s="3" t="s">
        <v>200</v>
      </c>
      <c r="B36" s="3">
        <v>3.265625</v>
      </c>
      <c r="C36" s="3">
        <v>4.0</v>
      </c>
    </row>
    <row r="37">
      <c r="A37" s="3" t="s">
        <v>201</v>
      </c>
      <c r="B37" s="3">
        <v>2.34375</v>
      </c>
      <c r="C37" s="3">
        <v>1.0</v>
      </c>
    </row>
    <row r="38">
      <c r="A38" s="3" t="s">
        <v>202</v>
      </c>
      <c r="B38" s="3">
        <v>3.21875</v>
      </c>
      <c r="C38" s="3">
        <v>4.0</v>
      </c>
    </row>
    <row r="39">
      <c r="A39" s="3" t="s">
        <v>203</v>
      </c>
      <c r="B39" s="3">
        <v>2.578125</v>
      </c>
      <c r="C39" s="3">
        <v>1.0</v>
      </c>
    </row>
    <row r="40">
      <c r="A40" s="3" t="s">
        <v>204</v>
      </c>
      <c r="B40" s="3">
        <v>2.046875</v>
      </c>
      <c r="C40" s="3">
        <v>1.0</v>
      </c>
    </row>
    <row r="41">
      <c r="A41" s="3" t="s">
        <v>205</v>
      </c>
      <c r="B41" s="3">
        <v>2.578125</v>
      </c>
      <c r="C41" s="3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172</v>
      </c>
      <c r="B1" s="5" t="s">
        <v>173</v>
      </c>
      <c r="C1" s="3" t="s">
        <v>206</v>
      </c>
      <c r="E1" s="5" t="s">
        <v>174</v>
      </c>
      <c r="F1" s="5" t="s">
        <v>175</v>
      </c>
      <c r="G1" s="3" t="s">
        <v>206</v>
      </c>
      <c r="I1" s="5" t="s">
        <v>176</v>
      </c>
      <c r="J1" s="5" t="s">
        <v>177</v>
      </c>
      <c r="K1" s="3" t="s">
        <v>206</v>
      </c>
      <c r="M1" s="5" t="s">
        <v>178</v>
      </c>
      <c r="N1" s="5" t="s">
        <v>179</v>
      </c>
      <c r="O1" s="3" t="s">
        <v>206</v>
      </c>
    </row>
    <row r="2">
      <c r="A2" s="3">
        <v>5.0</v>
      </c>
      <c r="B2" s="3">
        <v>1.0</v>
      </c>
      <c r="C2" s="3">
        <f t="shared" ref="C2:C33" si="1">median(A2:B2)</f>
        <v>3</v>
      </c>
      <c r="E2" s="3">
        <v>1.0</v>
      </c>
      <c r="F2" s="3">
        <v>4.0</v>
      </c>
      <c r="G2" s="3">
        <f t="shared" ref="G2:G33" si="2">median(E2:F2)</f>
        <v>2.5</v>
      </c>
      <c r="I2" s="3">
        <v>1.0</v>
      </c>
      <c r="J2" s="3">
        <v>1.0</v>
      </c>
      <c r="K2" s="3">
        <f t="shared" ref="K2:K33" si="3">median(I2:J2)</f>
        <v>1</v>
      </c>
      <c r="M2" s="3">
        <v>1.0</v>
      </c>
      <c r="N2" s="3">
        <v>1.0</v>
      </c>
      <c r="O2" s="3">
        <f t="shared" ref="O2:O33" si="4">median(M2:N2)</f>
        <v>1</v>
      </c>
    </row>
    <row r="3">
      <c r="A3" s="3">
        <v>5.0</v>
      </c>
      <c r="B3" s="3">
        <v>5.0</v>
      </c>
      <c r="C3" s="3">
        <f t="shared" si="1"/>
        <v>5</v>
      </c>
      <c r="E3" s="3">
        <v>1.0</v>
      </c>
      <c r="F3" s="3">
        <v>4.0</v>
      </c>
      <c r="G3" s="3">
        <f t="shared" si="2"/>
        <v>2.5</v>
      </c>
      <c r="I3" s="3">
        <v>4.0</v>
      </c>
      <c r="J3" s="3">
        <v>1.0</v>
      </c>
      <c r="K3" s="3">
        <f t="shared" si="3"/>
        <v>2.5</v>
      </c>
      <c r="M3" s="3">
        <v>2.0</v>
      </c>
      <c r="N3" s="3">
        <v>1.0</v>
      </c>
      <c r="O3" s="3">
        <f t="shared" si="4"/>
        <v>1.5</v>
      </c>
    </row>
    <row r="4">
      <c r="A4" s="3">
        <v>4.0</v>
      </c>
      <c r="B4" s="3">
        <v>1.0</v>
      </c>
      <c r="C4" s="3">
        <f t="shared" si="1"/>
        <v>2.5</v>
      </c>
      <c r="E4" s="3">
        <v>1.0</v>
      </c>
      <c r="F4" s="3">
        <v>5.0</v>
      </c>
      <c r="G4" s="3">
        <f t="shared" si="2"/>
        <v>3</v>
      </c>
      <c r="I4" s="3">
        <v>1.0</v>
      </c>
      <c r="J4" s="3">
        <v>1.0</v>
      </c>
      <c r="K4" s="3">
        <f t="shared" si="3"/>
        <v>1</v>
      </c>
      <c r="M4" s="3">
        <v>1.0</v>
      </c>
      <c r="N4" s="3">
        <v>1.0</v>
      </c>
      <c r="O4" s="3">
        <f t="shared" si="4"/>
        <v>1</v>
      </c>
    </row>
    <row r="5">
      <c r="A5" s="3">
        <v>5.0</v>
      </c>
      <c r="B5" s="3">
        <v>5.0</v>
      </c>
      <c r="C5" s="3">
        <f t="shared" si="1"/>
        <v>5</v>
      </c>
      <c r="E5" s="3">
        <v>1.0</v>
      </c>
      <c r="F5" s="3">
        <v>5.0</v>
      </c>
      <c r="G5" s="3">
        <f t="shared" si="2"/>
        <v>3</v>
      </c>
      <c r="I5" s="3">
        <v>5.0</v>
      </c>
      <c r="J5" s="3">
        <v>1.0</v>
      </c>
      <c r="K5" s="3">
        <f t="shared" si="3"/>
        <v>3</v>
      </c>
      <c r="M5" s="3">
        <v>1.0</v>
      </c>
      <c r="N5" s="3">
        <v>1.0</v>
      </c>
      <c r="O5" s="3">
        <f t="shared" si="4"/>
        <v>1</v>
      </c>
    </row>
    <row r="6">
      <c r="A6" s="3">
        <v>5.0</v>
      </c>
      <c r="B6" s="3">
        <v>1.0</v>
      </c>
      <c r="C6" s="3">
        <f t="shared" si="1"/>
        <v>3</v>
      </c>
      <c r="E6" s="3">
        <v>3.0</v>
      </c>
      <c r="F6" s="3">
        <v>5.0</v>
      </c>
      <c r="G6" s="3">
        <f t="shared" si="2"/>
        <v>4</v>
      </c>
      <c r="I6" s="3">
        <v>2.0</v>
      </c>
      <c r="J6" s="3">
        <v>4.0</v>
      </c>
      <c r="K6" s="3">
        <f t="shared" si="3"/>
        <v>3</v>
      </c>
      <c r="M6" s="3">
        <v>1.0</v>
      </c>
      <c r="N6" s="3">
        <v>1.0</v>
      </c>
      <c r="O6" s="3">
        <f t="shared" si="4"/>
        <v>1</v>
      </c>
    </row>
    <row r="7">
      <c r="A7" s="3">
        <v>5.0</v>
      </c>
      <c r="B7" s="3">
        <v>5.0</v>
      </c>
      <c r="C7" s="3">
        <f t="shared" si="1"/>
        <v>5</v>
      </c>
      <c r="E7" s="3">
        <v>5.0</v>
      </c>
      <c r="F7" s="3">
        <v>5.0</v>
      </c>
      <c r="G7" s="3">
        <f t="shared" si="2"/>
        <v>5</v>
      </c>
      <c r="I7" s="3">
        <v>5.0</v>
      </c>
      <c r="J7" s="3">
        <v>5.0</v>
      </c>
      <c r="K7" s="3">
        <f t="shared" si="3"/>
        <v>5</v>
      </c>
      <c r="M7" s="3">
        <v>5.0</v>
      </c>
      <c r="N7" s="3">
        <v>5.0</v>
      </c>
      <c r="O7" s="3">
        <f t="shared" si="4"/>
        <v>5</v>
      </c>
    </row>
    <row r="8">
      <c r="A8" s="3">
        <v>5.0</v>
      </c>
      <c r="B8" s="3">
        <v>5.0</v>
      </c>
      <c r="C8" s="3">
        <f t="shared" si="1"/>
        <v>5</v>
      </c>
      <c r="E8" s="3">
        <v>5.0</v>
      </c>
      <c r="F8" s="3">
        <v>5.0</v>
      </c>
      <c r="G8" s="3">
        <f t="shared" si="2"/>
        <v>5</v>
      </c>
      <c r="I8" s="3">
        <v>5.0</v>
      </c>
      <c r="J8" s="3">
        <v>5.0</v>
      </c>
      <c r="K8" s="3">
        <f t="shared" si="3"/>
        <v>5</v>
      </c>
      <c r="M8" s="3">
        <v>5.0</v>
      </c>
      <c r="N8" s="3">
        <v>4.0</v>
      </c>
      <c r="O8" s="3">
        <f t="shared" si="4"/>
        <v>4.5</v>
      </c>
    </row>
    <row r="9">
      <c r="A9" s="3">
        <v>5.0</v>
      </c>
      <c r="B9" s="3">
        <v>5.0</v>
      </c>
      <c r="C9" s="3">
        <f t="shared" si="1"/>
        <v>5</v>
      </c>
      <c r="E9" s="3">
        <v>2.0</v>
      </c>
      <c r="F9" s="3">
        <v>5.0</v>
      </c>
      <c r="G9" s="3">
        <f t="shared" si="2"/>
        <v>3.5</v>
      </c>
      <c r="I9" s="3">
        <v>1.0</v>
      </c>
      <c r="J9" s="3">
        <v>5.0</v>
      </c>
      <c r="K9" s="3">
        <f t="shared" si="3"/>
        <v>3</v>
      </c>
      <c r="M9" s="3">
        <v>3.0</v>
      </c>
      <c r="N9" s="3">
        <v>5.0</v>
      </c>
      <c r="O9" s="3">
        <f t="shared" si="4"/>
        <v>4</v>
      </c>
    </row>
    <row r="10">
      <c r="A10" s="3">
        <v>5.0</v>
      </c>
      <c r="B10" s="3">
        <v>5.0</v>
      </c>
      <c r="C10" s="3">
        <f t="shared" si="1"/>
        <v>5</v>
      </c>
      <c r="E10" s="3">
        <v>4.0</v>
      </c>
      <c r="F10" s="3">
        <v>5.0</v>
      </c>
      <c r="G10" s="3">
        <f t="shared" si="2"/>
        <v>4.5</v>
      </c>
      <c r="I10" s="3">
        <v>5.0</v>
      </c>
      <c r="J10" s="3">
        <v>5.0</v>
      </c>
      <c r="K10" s="3">
        <f t="shared" si="3"/>
        <v>5</v>
      </c>
      <c r="M10" s="3">
        <v>4.0</v>
      </c>
      <c r="N10" s="3">
        <v>5.0</v>
      </c>
      <c r="O10" s="3">
        <f t="shared" si="4"/>
        <v>4.5</v>
      </c>
    </row>
    <row r="11">
      <c r="A11" s="3">
        <v>5.0</v>
      </c>
      <c r="B11" s="3">
        <v>5.0</v>
      </c>
      <c r="C11" s="3">
        <f t="shared" si="1"/>
        <v>5</v>
      </c>
      <c r="E11" s="3">
        <v>5.0</v>
      </c>
      <c r="F11" s="3">
        <v>5.0</v>
      </c>
      <c r="G11" s="3">
        <f t="shared" si="2"/>
        <v>5</v>
      </c>
      <c r="I11" s="3">
        <v>5.0</v>
      </c>
      <c r="J11" s="3">
        <v>1.0</v>
      </c>
      <c r="K11" s="3">
        <f t="shared" si="3"/>
        <v>3</v>
      </c>
      <c r="M11" s="3">
        <v>4.0</v>
      </c>
      <c r="N11" s="3">
        <v>5.0</v>
      </c>
      <c r="O11" s="3">
        <f t="shared" si="4"/>
        <v>4.5</v>
      </c>
    </row>
    <row r="12">
      <c r="A12" s="3">
        <v>5.0</v>
      </c>
      <c r="B12" s="3">
        <v>5.0</v>
      </c>
      <c r="C12" s="3">
        <f t="shared" si="1"/>
        <v>5</v>
      </c>
      <c r="E12" s="3">
        <v>5.0</v>
      </c>
      <c r="F12" s="3">
        <v>5.0</v>
      </c>
      <c r="G12" s="3">
        <f t="shared" si="2"/>
        <v>5</v>
      </c>
      <c r="I12" s="3">
        <v>5.0</v>
      </c>
      <c r="J12" s="3">
        <v>5.0</v>
      </c>
      <c r="K12" s="3">
        <f t="shared" si="3"/>
        <v>5</v>
      </c>
      <c r="M12" s="3">
        <v>3.0</v>
      </c>
      <c r="N12" s="3">
        <v>5.0</v>
      </c>
      <c r="O12" s="3">
        <f t="shared" si="4"/>
        <v>4</v>
      </c>
    </row>
    <row r="13">
      <c r="A13" s="3">
        <v>5.0</v>
      </c>
      <c r="B13" s="3">
        <v>5.0</v>
      </c>
      <c r="C13" s="3">
        <f t="shared" si="1"/>
        <v>5</v>
      </c>
      <c r="E13" s="3">
        <v>5.0</v>
      </c>
      <c r="F13" s="3">
        <v>5.0</v>
      </c>
      <c r="G13" s="3">
        <f t="shared" si="2"/>
        <v>5</v>
      </c>
      <c r="I13" s="3">
        <v>5.0</v>
      </c>
      <c r="J13" s="3">
        <v>5.0</v>
      </c>
      <c r="K13" s="3">
        <f t="shared" si="3"/>
        <v>5</v>
      </c>
      <c r="M13" s="3">
        <v>5.0</v>
      </c>
      <c r="N13" s="3">
        <v>5.0</v>
      </c>
      <c r="O13" s="3">
        <f t="shared" si="4"/>
        <v>5</v>
      </c>
    </row>
    <row r="14">
      <c r="A14" s="3">
        <v>5.0</v>
      </c>
      <c r="B14" s="3">
        <v>5.0</v>
      </c>
      <c r="C14" s="3">
        <f t="shared" si="1"/>
        <v>5</v>
      </c>
      <c r="E14" s="3">
        <v>5.0</v>
      </c>
      <c r="F14" s="3">
        <v>5.0</v>
      </c>
      <c r="G14" s="3">
        <f t="shared" si="2"/>
        <v>5</v>
      </c>
      <c r="I14" s="3">
        <v>5.0</v>
      </c>
      <c r="J14" s="3">
        <v>5.0</v>
      </c>
      <c r="K14" s="3">
        <f t="shared" si="3"/>
        <v>5</v>
      </c>
      <c r="M14" s="3">
        <v>5.0</v>
      </c>
      <c r="N14" s="3">
        <v>1.0</v>
      </c>
      <c r="O14" s="3">
        <f t="shared" si="4"/>
        <v>3</v>
      </c>
    </row>
    <row r="15">
      <c r="A15" s="3">
        <v>5.0</v>
      </c>
      <c r="B15" s="3">
        <v>5.0</v>
      </c>
      <c r="C15" s="3">
        <f t="shared" si="1"/>
        <v>5</v>
      </c>
      <c r="E15" s="3">
        <v>5.0</v>
      </c>
      <c r="F15" s="3">
        <v>5.0</v>
      </c>
      <c r="G15" s="3">
        <f t="shared" si="2"/>
        <v>5</v>
      </c>
      <c r="I15" s="3">
        <v>5.0</v>
      </c>
      <c r="J15" s="3">
        <v>5.0</v>
      </c>
      <c r="K15" s="3">
        <f t="shared" si="3"/>
        <v>5</v>
      </c>
      <c r="M15" s="3">
        <v>5.0</v>
      </c>
      <c r="N15" s="3">
        <v>5.0</v>
      </c>
      <c r="O15" s="3">
        <f t="shared" si="4"/>
        <v>5</v>
      </c>
    </row>
    <row r="16">
      <c r="A16" s="3">
        <v>5.0</v>
      </c>
      <c r="B16" s="3">
        <v>3.0</v>
      </c>
      <c r="C16" s="3">
        <f t="shared" si="1"/>
        <v>4</v>
      </c>
      <c r="E16" s="3">
        <v>2.0</v>
      </c>
      <c r="F16" s="3">
        <v>5.0</v>
      </c>
      <c r="G16" s="3">
        <f t="shared" si="2"/>
        <v>3.5</v>
      </c>
      <c r="I16" s="3">
        <v>4.0</v>
      </c>
      <c r="J16" s="3">
        <v>5.0</v>
      </c>
      <c r="K16" s="3">
        <f t="shared" si="3"/>
        <v>4.5</v>
      </c>
      <c r="M16" s="3">
        <v>2.0</v>
      </c>
      <c r="N16" s="3">
        <v>1.0</v>
      </c>
      <c r="O16" s="3">
        <f t="shared" si="4"/>
        <v>1.5</v>
      </c>
    </row>
    <row r="17">
      <c r="A17" s="3">
        <v>5.0</v>
      </c>
      <c r="B17" s="3">
        <v>5.0</v>
      </c>
      <c r="C17" s="3">
        <f t="shared" si="1"/>
        <v>5</v>
      </c>
      <c r="E17" s="3">
        <v>5.0</v>
      </c>
      <c r="F17" s="3">
        <v>5.0</v>
      </c>
      <c r="G17" s="3">
        <f t="shared" si="2"/>
        <v>5</v>
      </c>
      <c r="I17" s="3">
        <v>4.0</v>
      </c>
      <c r="J17" s="3">
        <v>5.0</v>
      </c>
      <c r="K17" s="3">
        <f t="shared" si="3"/>
        <v>4.5</v>
      </c>
      <c r="M17" s="3">
        <v>5.0</v>
      </c>
      <c r="N17" s="3">
        <v>5.0</v>
      </c>
      <c r="O17" s="3">
        <f t="shared" si="4"/>
        <v>5</v>
      </c>
    </row>
    <row r="18">
      <c r="A18" s="3">
        <v>5.0</v>
      </c>
      <c r="B18" s="3">
        <v>1.0</v>
      </c>
      <c r="C18" s="3">
        <f t="shared" si="1"/>
        <v>3</v>
      </c>
      <c r="E18" s="3">
        <v>5.0</v>
      </c>
      <c r="F18" s="3">
        <v>5.0</v>
      </c>
      <c r="G18" s="3">
        <f t="shared" si="2"/>
        <v>5</v>
      </c>
      <c r="I18" s="3">
        <v>5.0</v>
      </c>
      <c r="J18" s="3">
        <v>5.0</v>
      </c>
      <c r="K18" s="3">
        <f t="shared" si="3"/>
        <v>5</v>
      </c>
      <c r="M18" s="3">
        <v>5.0</v>
      </c>
      <c r="N18" s="3">
        <v>5.0</v>
      </c>
      <c r="O18" s="3">
        <f t="shared" si="4"/>
        <v>5</v>
      </c>
    </row>
    <row r="19">
      <c r="A19" s="3">
        <v>5.0</v>
      </c>
      <c r="B19" s="3">
        <v>5.0</v>
      </c>
      <c r="C19" s="3">
        <f t="shared" si="1"/>
        <v>5</v>
      </c>
      <c r="E19" s="3">
        <v>5.0</v>
      </c>
      <c r="F19" s="3">
        <v>5.0</v>
      </c>
      <c r="G19" s="3">
        <f t="shared" si="2"/>
        <v>5</v>
      </c>
      <c r="I19" s="3">
        <v>5.0</v>
      </c>
      <c r="J19" s="3">
        <v>5.0</v>
      </c>
      <c r="K19" s="3">
        <f t="shared" si="3"/>
        <v>5</v>
      </c>
      <c r="M19" s="3">
        <v>5.0</v>
      </c>
      <c r="N19" s="3">
        <v>5.0</v>
      </c>
      <c r="O19" s="3">
        <f t="shared" si="4"/>
        <v>5</v>
      </c>
    </row>
    <row r="20">
      <c r="A20" s="3">
        <v>5.0</v>
      </c>
      <c r="B20" s="3">
        <v>5.0</v>
      </c>
      <c r="C20" s="3">
        <f t="shared" si="1"/>
        <v>5</v>
      </c>
      <c r="E20" s="3">
        <v>5.0</v>
      </c>
      <c r="F20" s="3">
        <v>5.0</v>
      </c>
      <c r="G20" s="3">
        <f t="shared" si="2"/>
        <v>5</v>
      </c>
      <c r="I20" s="3">
        <v>5.0</v>
      </c>
      <c r="J20" s="3">
        <v>5.0</v>
      </c>
      <c r="K20" s="3">
        <f t="shared" si="3"/>
        <v>5</v>
      </c>
      <c r="M20" s="3">
        <v>5.0</v>
      </c>
      <c r="N20" s="3">
        <v>5.0</v>
      </c>
      <c r="O20" s="3">
        <f t="shared" si="4"/>
        <v>5</v>
      </c>
    </row>
    <row r="21">
      <c r="A21" s="3">
        <v>5.0</v>
      </c>
      <c r="B21" s="3">
        <v>5.0</v>
      </c>
      <c r="C21" s="3">
        <f t="shared" si="1"/>
        <v>5</v>
      </c>
      <c r="E21" s="3">
        <v>5.0</v>
      </c>
      <c r="F21" s="3">
        <v>5.0</v>
      </c>
      <c r="G21" s="3">
        <f t="shared" si="2"/>
        <v>5</v>
      </c>
      <c r="I21" s="3">
        <v>5.0</v>
      </c>
      <c r="J21" s="3">
        <v>5.0</v>
      </c>
      <c r="K21" s="3">
        <f t="shared" si="3"/>
        <v>5</v>
      </c>
      <c r="M21" s="3">
        <v>5.0</v>
      </c>
      <c r="N21" s="3">
        <v>5.0</v>
      </c>
      <c r="O21" s="3">
        <f t="shared" si="4"/>
        <v>5</v>
      </c>
    </row>
    <row r="22">
      <c r="A22" s="3">
        <v>5.0</v>
      </c>
      <c r="B22" s="3">
        <v>5.0</v>
      </c>
      <c r="C22" s="3">
        <f t="shared" si="1"/>
        <v>5</v>
      </c>
      <c r="E22" s="3">
        <v>5.0</v>
      </c>
      <c r="F22" s="3">
        <v>5.0</v>
      </c>
      <c r="G22" s="3">
        <f t="shared" si="2"/>
        <v>5</v>
      </c>
      <c r="I22" s="3">
        <v>5.0</v>
      </c>
      <c r="J22" s="3">
        <v>5.0</v>
      </c>
      <c r="K22" s="3">
        <f t="shared" si="3"/>
        <v>5</v>
      </c>
      <c r="M22" s="3">
        <v>5.0</v>
      </c>
      <c r="N22" s="3">
        <v>5.0</v>
      </c>
      <c r="O22" s="3">
        <f t="shared" si="4"/>
        <v>5</v>
      </c>
    </row>
    <row r="23">
      <c r="A23" s="3">
        <v>5.0</v>
      </c>
      <c r="B23" s="3">
        <v>1.0</v>
      </c>
      <c r="C23" s="3">
        <f t="shared" si="1"/>
        <v>3</v>
      </c>
      <c r="E23" s="3">
        <v>1.0</v>
      </c>
      <c r="F23" s="3">
        <v>5.0</v>
      </c>
      <c r="G23" s="3">
        <f t="shared" si="2"/>
        <v>3</v>
      </c>
      <c r="I23" s="3">
        <v>5.0</v>
      </c>
      <c r="J23" s="3">
        <v>3.0</v>
      </c>
      <c r="K23" s="3">
        <f t="shared" si="3"/>
        <v>4</v>
      </c>
      <c r="M23" s="3">
        <v>5.0</v>
      </c>
      <c r="N23" s="3">
        <v>1.0</v>
      </c>
      <c r="O23" s="3">
        <f t="shared" si="4"/>
        <v>3</v>
      </c>
    </row>
    <row r="24">
      <c r="A24" s="3">
        <v>5.0</v>
      </c>
      <c r="B24" s="3">
        <v>5.0</v>
      </c>
      <c r="C24" s="3">
        <f t="shared" si="1"/>
        <v>5</v>
      </c>
      <c r="E24" s="3">
        <v>5.0</v>
      </c>
      <c r="F24" s="3">
        <v>5.0</v>
      </c>
      <c r="G24" s="3">
        <f t="shared" si="2"/>
        <v>5</v>
      </c>
      <c r="I24" s="3">
        <v>5.0</v>
      </c>
      <c r="J24" s="3">
        <v>5.0</v>
      </c>
      <c r="K24" s="3">
        <f t="shared" si="3"/>
        <v>5</v>
      </c>
      <c r="M24" s="3">
        <v>1.0</v>
      </c>
      <c r="N24" s="3">
        <v>1.0</v>
      </c>
      <c r="O24" s="3">
        <f t="shared" si="4"/>
        <v>1</v>
      </c>
    </row>
    <row r="25">
      <c r="A25" s="3">
        <v>5.0</v>
      </c>
      <c r="B25" s="3">
        <v>5.0</v>
      </c>
      <c r="C25" s="3">
        <f t="shared" si="1"/>
        <v>5</v>
      </c>
      <c r="E25" s="3">
        <v>5.0</v>
      </c>
      <c r="F25" s="3">
        <v>5.0</v>
      </c>
      <c r="G25" s="3">
        <f t="shared" si="2"/>
        <v>5</v>
      </c>
      <c r="I25" s="3">
        <v>5.0</v>
      </c>
      <c r="J25" s="3">
        <v>5.0</v>
      </c>
      <c r="K25" s="3">
        <f t="shared" si="3"/>
        <v>5</v>
      </c>
      <c r="M25" s="3">
        <v>1.0</v>
      </c>
      <c r="N25" s="3">
        <v>5.0</v>
      </c>
      <c r="O25" s="3">
        <f t="shared" si="4"/>
        <v>3</v>
      </c>
    </row>
    <row r="26">
      <c r="A26" s="3">
        <v>5.0</v>
      </c>
      <c r="B26" s="3">
        <v>5.0</v>
      </c>
      <c r="C26" s="3">
        <f t="shared" si="1"/>
        <v>5</v>
      </c>
      <c r="E26" s="3">
        <v>5.0</v>
      </c>
      <c r="F26" s="3">
        <v>5.0</v>
      </c>
      <c r="G26" s="3">
        <f t="shared" si="2"/>
        <v>5</v>
      </c>
      <c r="I26" s="3">
        <v>5.0</v>
      </c>
      <c r="J26" s="3">
        <v>5.0</v>
      </c>
      <c r="K26" s="3">
        <f t="shared" si="3"/>
        <v>5</v>
      </c>
      <c r="M26" s="3">
        <v>5.0</v>
      </c>
      <c r="N26" s="3">
        <v>5.0</v>
      </c>
      <c r="O26" s="3">
        <f t="shared" si="4"/>
        <v>5</v>
      </c>
    </row>
    <row r="27">
      <c r="A27" s="3">
        <v>5.0</v>
      </c>
      <c r="B27" s="3">
        <v>5.0</v>
      </c>
      <c r="C27" s="3">
        <f t="shared" si="1"/>
        <v>5</v>
      </c>
      <c r="E27" s="3">
        <v>5.0</v>
      </c>
      <c r="F27" s="3">
        <v>5.0</v>
      </c>
      <c r="G27" s="3">
        <f t="shared" si="2"/>
        <v>5</v>
      </c>
      <c r="I27" s="3">
        <v>5.0</v>
      </c>
      <c r="J27" s="3">
        <v>5.0</v>
      </c>
      <c r="K27" s="3">
        <f t="shared" si="3"/>
        <v>5</v>
      </c>
      <c r="M27" s="3">
        <v>5.0</v>
      </c>
      <c r="N27" s="3">
        <v>1.0</v>
      </c>
      <c r="O27" s="3">
        <f t="shared" si="4"/>
        <v>3</v>
      </c>
    </row>
    <row r="28">
      <c r="A28" s="3">
        <v>5.0</v>
      </c>
      <c r="B28" s="3">
        <v>5.0</v>
      </c>
      <c r="C28" s="3">
        <f t="shared" si="1"/>
        <v>5</v>
      </c>
      <c r="E28" s="3">
        <v>1.0</v>
      </c>
      <c r="F28" s="3">
        <v>5.0</v>
      </c>
      <c r="G28" s="3">
        <f t="shared" si="2"/>
        <v>3</v>
      </c>
      <c r="I28" s="3">
        <v>1.0</v>
      </c>
      <c r="J28" s="3">
        <v>1.0</v>
      </c>
      <c r="K28" s="3">
        <f t="shared" si="3"/>
        <v>1</v>
      </c>
      <c r="M28" s="3">
        <v>1.0</v>
      </c>
      <c r="N28" s="3">
        <v>1.0</v>
      </c>
      <c r="O28" s="3">
        <f t="shared" si="4"/>
        <v>1</v>
      </c>
    </row>
    <row r="29">
      <c r="A29" s="3">
        <v>5.0</v>
      </c>
      <c r="B29" s="3">
        <v>5.0</v>
      </c>
      <c r="C29" s="3">
        <f t="shared" si="1"/>
        <v>5</v>
      </c>
      <c r="E29" s="3">
        <v>5.0</v>
      </c>
      <c r="F29" s="3">
        <v>5.0</v>
      </c>
      <c r="G29" s="3">
        <f t="shared" si="2"/>
        <v>5</v>
      </c>
      <c r="I29" s="3">
        <v>5.0</v>
      </c>
      <c r="J29" s="3">
        <v>5.0</v>
      </c>
      <c r="K29" s="3">
        <f t="shared" si="3"/>
        <v>5</v>
      </c>
      <c r="M29" s="3">
        <v>4.0</v>
      </c>
      <c r="N29" s="3">
        <v>5.0</v>
      </c>
      <c r="O29" s="3">
        <f t="shared" si="4"/>
        <v>4.5</v>
      </c>
    </row>
    <row r="30">
      <c r="A30" s="3">
        <v>5.0</v>
      </c>
      <c r="B30" s="3">
        <v>5.0</v>
      </c>
      <c r="C30" s="3">
        <f t="shared" si="1"/>
        <v>5</v>
      </c>
      <c r="E30" s="3">
        <v>1.0</v>
      </c>
      <c r="F30" s="3">
        <v>5.0</v>
      </c>
      <c r="G30" s="3">
        <f t="shared" si="2"/>
        <v>3</v>
      </c>
      <c r="I30" s="3">
        <v>3.0</v>
      </c>
      <c r="J30" s="3">
        <v>4.0</v>
      </c>
      <c r="K30" s="3">
        <f t="shared" si="3"/>
        <v>3.5</v>
      </c>
      <c r="M30" s="3">
        <v>4.0</v>
      </c>
      <c r="N30" s="3">
        <v>1.0</v>
      </c>
      <c r="O30" s="3">
        <f t="shared" si="4"/>
        <v>2.5</v>
      </c>
    </row>
    <row r="31">
      <c r="A31" s="3">
        <v>5.0</v>
      </c>
      <c r="B31" s="3">
        <v>5.0</v>
      </c>
      <c r="C31" s="3">
        <f t="shared" si="1"/>
        <v>5</v>
      </c>
      <c r="E31" s="3">
        <v>5.0</v>
      </c>
      <c r="F31" s="3">
        <v>5.0</v>
      </c>
      <c r="G31" s="3">
        <f t="shared" si="2"/>
        <v>5</v>
      </c>
      <c r="I31" s="3">
        <v>5.0</v>
      </c>
      <c r="J31" s="3">
        <v>5.0</v>
      </c>
      <c r="K31" s="3">
        <f t="shared" si="3"/>
        <v>5</v>
      </c>
      <c r="M31" s="3">
        <v>3.0</v>
      </c>
      <c r="N31" s="3">
        <v>1.0</v>
      </c>
      <c r="O31" s="3">
        <f t="shared" si="4"/>
        <v>2</v>
      </c>
    </row>
    <row r="32">
      <c r="A32" s="3">
        <v>5.0</v>
      </c>
      <c r="B32" s="3">
        <v>1.0</v>
      </c>
      <c r="C32" s="3">
        <f t="shared" si="1"/>
        <v>3</v>
      </c>
      <c r="E32" s="3">
        <v>1.0</v>
      </c>
      <c r="F32" s="3">
        <v>1.0</v>
      </c>
      <c r="G32" s="3">
        <f t="shared" si="2"/>
        <v>1</v>
      </c>
      <c r="I32" s="3">
        <v>1.0</v>
      </c>
      <c r="J32" s="3">
        <v>1.0</v>
      </c>
      <c r="K32" s="3">
        <f t="shared" si="3"/>
        <v>1</v>
      </c>
      <c r="M32" s="3">
        <v>3.0</v>
      </c>
      <c r="N32" s="3">
        <v>1.0</v>
      </c>
      <c r="O32" s="3">
        <f t="shared" si="4"/>
        <v>2</v>
      </c>
    </row>
    <row r="33">
      <c r="A33" s="3">
        <v>5.0</v>
      </c>
      <c r="B33" s="3">
        <v>1.0</v>
      </c>
      <c r="C33" s="3">
        <f t="shared" si="1"/>
        <v>3</v>
      </c>
      <c r="E33" s="3">
        <v>1.0</v>
      </c>
      <c r="F33" s="3">
        <v>5.0</v>
      </c>
      <c r="G33" s="3">
        <f t="shared" si="2"/>
        <v>3</v>
      </c>
      <c r="I33" s="3">
        <v>5.0</v>
      </c>
      <c r="J33" s="3">
        <v>1.0</v>
      </c>
      <c r="K33" s="3">
        <f t="shared" si="3"/>
        <v>3</v>
      </c>
      <c r="M33" s="3">
        <v>1.0</v>
      </c>
      <c r="N33" s="3">
        <v>1.0</v>
      </c>
      <c r="O33" s="3">
        <f t="shared" si="4"/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207</v>
      </c>
      <c r="C2" s="3" t="s">
        <v>208</v>
      </c>
      <c r="D2" s="3" t="s">
        <v>209</v>
      </c>
      <c r="F2" s="8" t="s">
        <v>210</v>
      </c>
      <c r="G2" s="8" t="s">
        <v>211</v>
      </c>
      <c r="H2" s="8" t="s">
        <v>212</v>
      </c>
      <c r="I2" s="8" t="s">
        <v>194</v>
      </c>
      <c r="J2" s="8" t="s">
        <v>213</v>
      </c>
    </row>
    <row r="3">
      <c r="A3" s="3" t="s">
        <v>197</v>
      </c>
      <c r="B3" s="7">
        <v>0.9292</v>
      </c>
      <c r="C3" s="3">
        <v>0.4678</v>
      </c>
      <c r="D3" s="3">
        <v>0.9292</v>
      </c>
      <c r="F3" s="8" t="s">
        <v>197</v>
      </c>
      <c r="G3" s="9">
        <v>0.7544</v>
      </c>
      <c r="H3" s="10">
        <v>0.88</v>
      </c>
      <c r="I3" s="10">
        <v>1.89</v>
      </c>
      <c r="J3" s="10">
        <v>0.41</v>
      </c>
    </row>
    <row r="4">
      <c r="A4" s="3" t="s">
        <v>198</v>
      </c>
      <c r="B4" s="7">
        <v>0.9292</v>
      </c>
      <c r="C4" s="3">
        <v>0.3846</v>
      </c>
      <c r="D4" s="7">
        <v>0.9292</v>
      </c>
      <c r="F4" s="8" t="s">
        <v>198</v>
      </c>
      <c r="G4" s="11">
        <v>0.68</v>
      </c>
      <c r="H4" s="10">
        <v>0.62</v>
      </c>
      <c r="I4" s="11">
        <v>1.4</v>
      </c>
      <c r="J4" s="11">
        <v>0.34</v>
      </c>
    </row>
    <row r="5">
      <c r="A5" s="3" t="s">
        <v>199</v>
      </c>
      <c r="B5" s="7">
        <v>0.9292</v>
      </c>
      <c r="C5" s="3">
        <v>0.3327</v>
      </c>
      <c r="D5" s="7">
        <v>0.9292</v>
      </c>
      <c r="F5" s="8" t="s">
        <v>199</v>
      </c>
      <c r="G5" s="11">
        <v>0.6976</v>
      </c>
      <c r="H5" s="10">
        <v>0.692</v>
      </c>
      <c r="I5" s="11">
        <v>1.51</v>
      </c>
      <c r="J5" s="11">
        <v>0.34</v>
      </c>
    </row>
    <row r="6">
      <c r="A6" s="3" t="s">
        <v>200</v>
      </c>
      <c r="B6" s="7">
        <v>0.9292</v>
      </c>
      <c r="C6" s="3">
        <v>0.3183</v>
      </c>
      <c r="D6" s="7">
        <v>0.9292</v>
      </c>
      <c r="F6" s="8" t="s">
        <v>200</v>
      </c>
      <c r="G6" s="11">
        <v>1.02</v>
      </c>
      <c r="H6" s="10">
        <v>0.52</v>
      </c>
      <c r="I6" s="11">
        <v>1.62</v>
      </c>
      <c r="J6" s="11">
        <v>0.51</v>
      </c>
    </row>
    <row r="7">
      <c r="A7" s="3" t="s">
        <v>201</v>
      </c>
      <c r="B7" s="7">
        <v>0.9292</v>
      </c>
      <c r="C7" s="3">
        <v>0.3981</v>
      </c>
      <c r="D7" s="7">
        <v>0.9292</v>
      </c>
      <c r="F7" s="8" t="s">
        <v>201</v>
      </c>
      <c r="G7" s="11">
        <v>1.01</v>
      </c>
      <c r="H7" s="10">
        <v>0.488</v>
      </c>
      <c r="I7" s="11">
        <v>1.84</v>
      </c>
      <c r="J7" s="11">
        <v>0.5</v>
      </c>
    </row>
    <row r="8">
      <c r="A8" s="3" t="s">
        <v>202</v>
      </c>
      <c r="B8" s="7">
        <v>0.9292</v>
      </c>
      <c r="C8" s="3">
        <v>0.3635</v>
      </c>
      <c r="D8" s="7">
        <v>0.9292</v>
      </c>
      <c r="F8" s="8" t="s">
        <v>202</v>
      </c>
      <c r="G8" s="11">
        <v>0.78</v>
      </c>
      <c r="H8" s="10">
        <v>0.7</v>
      </c>
      <c r="I8" s="11">
        <v>1.79</v>
      </c>
      <c r="J8" s="11">
        <v>0.39</v>
      </c>
    </row>
    <row r="9">
      <c r="A9" s="3" t="s">
        <v>203</v>
      </c>
      <c r="C9" s="3">
        <v>0.4096</v>
      </c>
      <c r="F9" s="8" t="s">
        <v>203</v>
      </c>
      <c r="G9" s="10">
        <v>0.56</v>
      </c>
      <c r="H9" s="10">
        <v>1.57</v>
      </c>
      <c r="I9" s="10">
        <v>1.89</v>
      </c>
      <c r="J9" s="10">
        <v>0.28</v>
      </c>
    </row>
    <row r="10">
      <c r="A10" s="3" t="s">
        <v>204</v>
      </c>
      <c r="C10" s="3">
        <v>0.3442</v>
      </c>
      <c r="F10" s="8" t="s">
        <v>204</v>
      </c>
      <c r="G10" s="10">
        <v>0.89</v>
      </c>
      <c r="H10" s="10">
        <v>0.28</v>
      </c>
      <c r="I10" s="10">
        <v>1.63</v>
      </c>
      <c r="J10" s="10">
        <v>0.44</v>
      </c>
    </row>
    <row r="11">
      <c r="A11" s="3" t="s">
        <v>205</v>
      </c>
      <c r="C11" s="3">
        <v>0.3123</v>
      </c>
      <c r="F11" s="8" t="s">
        <v>205</v>
      </c>
      <c r="G11" s="10">
        <v>1.03</v>
      </c>
      <c r="H11" s="10">
        <v>0.1</v>
      </c>
      <c r="I11" s="10">
        <v>1.85</v>
      </c>
      <c r="J11" s="10">
        <v>0.51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36</v>
      </c>
      <c r="C1" s="3" t="s">
        <v>37</v>
      </c>
    </row>
    <row r="2">
      <c r="A2" s="3" t="s">
        <v>214</v>
      </c>
      <c r="B2" s="3">
        <v>8.0</v>
      </c>
      <c r="C2" s="3">
        <v>24.0</v>
      </c>
    </row>
    <row r="3">
      <c r="A3" s="3" t="s">
        <v>215</v>
      </c>
      <c r="B3" s="3">
        <v>20.0</v>
      </c>
      <c r="C3" s="3">
        <v>12.0</v>
      </c>
    </row>
    <row r="6">
      <c r="B6" s="3" t="s">
        <v>36</v>
      </c>
      <c r="C6" s="3" t="s">
        <v>37</v>
      </c>
    </row>
    <row r="7">
      <c r="A7" s="3" t="s">
        <v>214</v>
      </c>
      <c r="B7" s="3">
        <f t="shared" ref="B7:C7" si="1">B2/32</f>
        <v>0.25</v>
      </c>
      <c r="C7" s="3">
        <f t="shared" si="1"/>
        <v>0.75</v>
      </c>
    </row>
    <row r="8">
      <c r="A8" s="3" t="s">
        <v>215</v>
      </c>
      <c r="B8" s="3">
        <f t="shared" ref="B8:C8" si="2">B3/32</f>
        <v>0.625</v>
      </c>
      <c r="C8" s="3">
        <f t="shared" si="2"/>
        <v>0.375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38"/>
    <col customWidth="1" min="10" max="10" width="34.13"/>
  </cols>
  <sheetData>
    <row r="1">
      <c r="A1" s="1" t="s">
        <v>0</v>
      </c>
      <c r="B1" s="1" t="s">
        <v>216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>
      <c r="A2" s="12">
        <v>45371.7157990625</v>
      </c>
      <c r="B2" s="13" t="s">
        <v>223</v>
      </c>
      <c r="C2" s="14">
        <v>74.0</v>
      </c>
      <c r="D2" s="13" t="s">
        <v>35</v>
      </c>
      <c r="E2" s="13" t="s">
        <v>36</v>
      </c>
      <c r="F2" s="13" t="s">
        <v>37</v>
      </c>
      <c r="G2" s="13" t="s">
        <v>37</v>
      </c>
      <c r="H2" s="13" t="s">
        <v>38</v>
      </c>
      <c r="I2" s="13" t="s">
        <v>39</v>
      </c>
      <c r="J2" s="13" t="s">
        <v>40</v>
      </c>
      <c r="K2" s="13" t="s">
        <v>41</v>
      </c>
      <c r="L2" s="13" t="s">
        <v>37</v>
      </c>
      <c r="M2" s="13" t="s">
        <v>42</v>
      </c>
      <c r="N2" s="13" t="s">
        <v>43</v>
      </c>
      <c r="O2" s="13" t="s">
        <v>43</v>
      </c>
      <c r="P2" s="13" t="s">
        <v>43</v>
      </c>
      <c r="Q2" s="13" t="s">
        <v>43</v>
      </c>
      <c r="R2" s="13" t="s">
        <v>43</v>
      </c>
      <c r="S2" s="14">
        <v>5.0</v>
      </c>
      <c r="T2" s="14">
        <v>1.0</v>
      </c>
      <c r="U2" s="14">
        <v>1.0</v>
      </c>
      <c r="V2" s="14">
        <v>4.0</v>
      </c>
      <c r="W2" s="14">
        <v>1.0</v>
      </c>
      <c r="X2" s="14">
        <v>1.0</v>
      </c>
      <c r="Y2" s="14">
        <v>1.0</v>
      </c>
      <c r="Z2" s="14">
        <v>1.0</v>
      </c>
      <c r="AA2" s="14">
        <v>3.0</v>
      </c>
      <c r="AB2" s="14">
        <v>1.0</v>
      </c>
      <c r="AC2" s="14">
        <v>1.0</v>
      </c>
      <c r="AD2" s="14">
        <v>1.0</v>
      </c>
      <c r="AE2" s="14">
        <v>1.0</v>
      </c>
      <c r="AF2" s="14">
        <v>1.0</v>
      </c>
      <c r="AG2" s="14">
        <v>1.0</v>
      </c>
      <c r="AH2" s="14">
        <v>1.0</v>
      </c>
      <c r="AI2" s="14">
        <v>1.0</v>
      </c>
      <c r="AJ2" s="14">
        <v>1.0</v>
      </c>
      <c r="AK2" s="13"/>
      <c r="AL2" s="13"/>
      <c r="AM2" s="13"/>
      <c r="AN2" s="13"/>
      <c r="AO2" s="13"/>
      <c r="AP2" s="13"/>
    </row>
    <row r="3">
      <c r="A3" s="12">
        <v>45371.72598454861</v>
      </c>
      <c r="B3" s="13" t="s">
        <v>224</v>
      </c>
      <c r="C3" s="14">
        <v>85.0</v>
      </c>
      <c r="D3" s="13" t="s">
        <v>35</v>
      </c>
      <c r="E3" s="13" t="s">
        <v>36</v>
      </c>
      <c r="F3" s="13" t="s">
        <v>37</v>
      </c>
      <c r="G3" s="13" t="s">
        <v>37</v>
      </c>
      <c r="H3" s="13" t="s">
        <v>38</v>
      </c>
      <c r="I3" s="13" t="s">
        <v>50</v>
      </c>
      <c r="J3" s="13" t="s">
        <v>51</v>
      </c>
      <c r="K3" s="13" t="s">
        <v>52</v>
      </c>
      <c r="L3" s="13" t="s">
        <v>37</v>
      </c>
      <c r="M3" s="13" t="s">
        <v>43</v>
      </c>
      <c r="N3" s="13" t="s">
        <v>43</v>
      </c>
      <c r="O3" s="13" t="s">
        <v>43</v>
      </c>
      <c r="P3" s="13" t="s">
        <v>53</v>
      </c>
      <c r="Q3" s="13" t="s">
        <v>43</v>
      </c>
      <c r="R3" s="13" t="s">
        <v>43</v>
      </c>
      <c r="S3" s="14">
        <v>4.0</v>
      </c>
      <c r="T3" s="14">
        <v>1.0</v>
      </c>
      <c r="U3" s="14">
        <v>1.0</v>
      </c>
      <c r="V3" s="14">
        <v>5.0</v>
      </c>
      <c r="W3" s="14">
        <v>1.0</v>
      </c>
      <c r="X3" s="14">
        <v>1.0</v>
      </c>
      <c r="Y3" s="14">
        <v>1.0</v>
      </c>
      <c r="Z3" s="14">
        <v>1.0</v>
      </c>
      <c r="AA3" s="14">
        <v>1.0</v>
      </c>
      <c r="AB3" s="14">
        <v>1.0</v>
      </c>
      <c r="AC3" s="14">
        <v>1.0</v>
      </c>
      <c r="AD3" s="14">
        <v>1.0</v>
      </c>
      <c r="AE3" s="14">
        <v>1.0</v>
      </c>
      <c r="AF3" s="14">
        <v>1.0</v>
      </c>
      <c r="AG3" s="14">
        <v>1.0</v>
      </c>
      <c r="AH3" s="14">
        <v>1.0</v>
      </c>
      <c r="AI3" s="14">
        <v>1.0</v>
      </c>
      <c r="AJ3" s="14">
        <v>1.0</v>
      </c>
      <c r="AK3" s="13"/>
      <c r="AL3" s="13"/>
      <c r="AM3" s="13"/>
      <c r="AN3" s="13"/>
      <c r="AO3" s="13"/>
      <c r="AP3" s="13"/>
    </row>
    <row r="4">
      <c r="A4" s="12">
        <v>45371.737900555556</v>
      </c>
      <c r="B4" s="13" t="s">
        <v>225</v>
      </c>
      <c r="C4" s="14">
        <v>78.0</v>
      </c>
      <c r="D4" s="13" t="s">
        <v>35</v>
      </c>
      <c r="E4" s="13" t="s">
        <v>36</v>
      </c>
      <c r="F4" s="13" t="s">
        <v>37</v>
      </c>
      <c r="G4" s="13" t="s">
        <v>36</v>
      </c>
      <c r="H4" s="13" t="s">
        <v>54</v>
      </c>
      <c r="I4" s="13" t="s">
        <v>55</v>
      </c>
      <c r="J4" s="13" t="s">
        <v>56</v>
      </c>
      <c r="K4" s="13" t="s">
        <v>57</v>
      </c>
      <c r="L4" s="13" t="s">
        <v>37</v>
      </c>
      <c r="M4" s="13" t="s">
        <v>58</v>
      </c>
      <c r="N4" s="13" t="s">
        <v>43</v>
      </c>
      <c r="O4" s="13" t="s">
        <v>43</v>
      </c>
      <c r="P4" s="13" t="s">
        <v>53</v>
      </c>
      <c r="Q4" s="13" t="s">
        <v>43</v>
      </c>
      <c r="R4" s="13" t="s">
        <v>43</v>
      </c>
      <c r="S4" s="14">
        <v>5.0</v>
      </c>
      <c r="T4" s="14">
        <v>5.0</v>
      </c>
      <c r="U4" s="14">
        <v>1.0</v>
      </c>
      <c r="V4" s="14">
        <v>5.0</v>
      </c>
      <c r="W4" s="14">
        <v>5.0</v>
      </c>
      <c r="X4" s="14">
        <v>1.0</v>
      </c>
      <c r="Y4" s="14">
        <v>1.0</v>
      </c>
      <c r="Z4" s="14">
        <v>1.0</v>
      </c>
      <c r="AA4" s="14">
        <v>1.0</v>
      </c>
      <c r="AB4" s="14">
        <v>1.0</v>
      </c>
      <c r="AC4" s="14">
        <v>5.0</v>
      </c>
      <c r="AD4" s="14">
        <v>1.0</v>
      </c>
      <c r="AE4" s="14">
        <v>1.0</v>
      </c>
      <c r="AF4" s="14">
        <v>1.0</v>
      </c>
      <c r="AG4" s="14">
        <v>1.0</v>
      </c>
      <c r="AH4" s="14">
        <v>1.0</v>
      </c>
      <c r="AI4" s="14">
        <v>1.0</v>
      </c>
      <c r="AJ4" s="14">
        <v>1.0</v>
      </c>
      <c r="AK4" s="13"/>
      <c r="AL4" s="13"/>
      <c r="AM4" s="13"/>
      <c r="AN4" s="13"/>
      <c r="AO4" s="13"/>
      <c r="AP4" s="13"/>
    </row>
    <row r="5">
      <c r="A5" s="12">
        <v>45371.74223606482</v>
      </c>
      <c r="B5" s="13" t="s">
        <v>226</v>
      </c>
      <c r="C5" s="14">
        <v>71.0</v>
      </c>
      <c r="D5" s="13" t="s">
        <v>35</v>
      </c>
      <c r="E5" s="13" t="s">
        <v>36</v>
      </c>
      <c r="F5" s="13" t="s">
        <v>36</v>
      </c>
      <c r="G5" s="13" t="s">
        <v>37</v>
      </c>
      <c r="H5" s="13" t="s">
        <v>59</v>
      </c>
      <c r="I5" s="13" t="s">
        <v>60</v>
      </c>
      <c r="J5" s="13" t="s">
        <v>61</v>
      </c>
      <c r="K5" s="13" t="s">
        <v>62</v>
      </c>
      <c r="L5" s="13" t="s">
        <v>37</v>
      </c>
      <c r="M5" s="13" t="s">
        <v>58</v>
      </c>
      <c r="N5" s="13" t="s">
        <v>43</v>
      </c>
      <c r="O5" s="13" t="s">
        <v>53</v>
      </c>
      <c r="P5" s="13" t="s">
        <v>43</v>
      </c>
      <c r="Q5" s="13" t="s">
        <v>53</v>
      </c>
      <c r="R5" s="13" t="s">
        <v>43</v>
      </c>
      <c r="S5" s="14">
        <v>5.0</v>
      </c>
      <c r="T5" s="14">
        <v>1.0</v>
      </c>
      <c r="U5" s="14">
        <v>3.0</v>
      </c>
      <c r="V5" s="14">
        <v>5.0</v>
      </c>
      <c r="W5" s="14">
        <v>2.0</v>
      </c>
      <c r="X5" s="14">
        <v>4.0</v>
      </c>
      <c r="Y5" s="14">
        <v>1.0</v>
      </c>
      <c r="Z5" s="14">
        <v>1.0</v>
      </c>
      <c r="AA5" s="14">
        <v>2.0</v>
      </c>
      <c r="AB5" s="14">
        <v>1.0</v>
      </c>
      <c r="AC5" s="14">
        <v>1.0</v>
      </c>
      <c r="AD5" s="14">
        <v>1.0</v>
      </c>
      <c r="AE5" s="14">
        <v>1.0</v>
      </c>
      <c r="AF5" s="14">
        <v>1.0</v>
      </c>
      <c r="AG5" s="14">
        <v>1.0</v>
      </c>
      <c r="AH5" s="14">
        <v>1.0</v>
      </c>
      <c r="AI5" s="14">
        <v>1.0</v>
      </c>
      <c r="AJ5" s="14">
        <v>1.0</v>
      </c>
      <c r="AK5" s="13"/>
      <c r="AL5" s="13"/>
      <c r="AM5" s="13"/>
      <c r="AN5" s="13"/>
      <c r="AO5" s="13"/>
      <c r="AP5" s="13"/>
    </row>
    <row r="6">
      <c r="A6" s="12">
        <v>45371.91823776621</v>
      </c>
      <c r="B6" s="13" t="s">
        <v>227</v>
      </c>
      <c r="C6" s="14">
        <v>52.0</v>
      </c>
      <c r="D6" s="13" t="s">
        <v>35</v>
      </c>
      <c r="E6" s="13" t="s">
        <v>36</v>
      </c>
      <c r="F6" s="13" t="s">
        <v>37</v>
      </c>
      <c r="G6" s="13" t="s">
        <v>36</v>
      </c>
      <c r="H6" s="13" t="s">
        <v>73</v>
      </c>
      <c r="I6" s="13" t="s">
        <v>74</v>
      </c>
      <c r="J6" s="13" t="s">
        <v>75</v>
      </c>
      <c r="K6" s="13" t="s">
        <v>76</v>
      </c>
      <c r="L6" s="13" t="s">
        <v>37</v>
      </c>
      <c r="M6" s="13" t="s">
        <v>58</v>
      </c>
      <c r="N6" s="13" t="s">
        <v>53</v>
      </c>
      <c r="O6" s="13" t="s">
        <v>53</v>
      </c>
      <c r="P6" s="13" t="s">
        <v>53</v>
      </c>
      <c r="Q6" s="13" t="s">
        <v>77</v>
      </c>
      <c r="R6" s="13" t="s">
        <v>77</v>
      </c>
      <c r="S6" s="14">
        <v>5.0</v>
      </c>
      <c r="T6" s="14">
        <v>5.0</v>
      </c>
      <c r="U6" s="14">
        <v>2.0</v>
      </c>
      <c r="V6" s="14">
        <v>5.0</v>
      </c>
      <c r="W6" s="14">
        <v>1.0</v>
      </c>
      <c r="X6" s="14">
        <v>5.0</v>
      </c>
      <c r="Y6" s="14">
        <v>3.0</v>
      </c>
      <c r="Z6" s="14">
        <v>5.0</v>
      </c>
      <c r="AA6" s="14">
        <v>1.0</v>
      </c>
      <c r="AB6" s="14">
        <v>1.0</v>
      </c>
      <c r="AC6" s="14">
        <v>4.0</v>
      </c>
      <c r="AD6" s="14">
        <v>1.0</v>
      </c>
      <c r="AE6" s="14">
        <v>5.0</v>
      </c>
      <c r="AF6" s="14">
        <v>1.0</v>
      </c>
      <c r="AG6" s="14">
        <v>5.0</v>
      </c>
      <c r="AH6" s="14">
        <v>3.0</v>
      </c>
      <c r="AI6" s="14">
        <v>1.0</v>
      </c>
      <c r="AJ6" s="14">
        <v>1.0</v>
      </c>
      <c r="AK6" s="13"/>
      <c r="AL6" s="13"/>
      <c r="AM6" s="13"/>
      <c r="AN6" s="13"/>
      <c r="AO6" s="13"/>
      <c r="AP6" s="13"/>
    </row>
    <row r="7">
      <c r="A7" s="12">
        <v>45371.92231394676</v>
      </c>
      <c r="B7" s="13" t="s">
        <v>228</v>
      </c>
      <c r="C7" s="14">
        <v>76.0</v>
      </c>
      <c r="D7" s="13" t="s">
        <v>35</v>
      </c>
      <c r="E7" s="13" t="s">
        <v>36</v>
      </c>
      <c r="F7" s="13" t="s">
        <v>37</v>
      </c>
      <c r="G7" s="13" t="s">
        <v>37</v>
      </c>
      <c r="H7" s="13" t="s">
        <v>83</v>
      </c>
      <c r="I7" s="13" t="s">
        <v>84</v>
      </c>
      <c r="J7" s="13" t="s">
        <v>85</v>
      </c>
      <c r="K7" s="13" t="s">
        <v>86</v>
      </c>
      <c r="L7" s="13" t="s">
        <v>37</v>
      </c>
      <c r="M7" s="13" t="s">
        <v>58</v>
      </c>
      <c r="N7" s="13" t="s">
        <v>43</v>
      </c>
      <c r="O7" s="13" t="s">
        <v>53</v>
      </c>
      <c r="P7" s="13" t="s">
        <v>43</v>
      </c>
      <c r="Q7" s="13" t="s">
        <v>53</v>
      </c>
      <c r="R7" s="13" t="s">
        <v>43</v>
      </c>
      <c r="S7" s="14">
        <v>5.0</v>
      </c>
      <c r="T7" s="14">
        <v>5.0</v>
      </c>
      <c r="U7" s="14">
        <v>5.0</v>
      </c>
      <c r="V7" s="14">
        <v>5.0</v>
      </c>
      <c r="W7" s="14">
        <v>5.0</v>
      </c>
      <c r="X7" s="14">
        <v>1.0</v>
      </c>
      <c r="Y7" s="14">
        <v>4.0</v>
      </c>
      <c r="Z7" s="14">
        <v>5.0</v>
      </c>
      <c r="AA7" s="14">
        <v>1.0</v>
      </c>
      <c r="AB7" s="14">
        <v>1.0</v>
      </c>
      <c r="AC7" s="14">
        <v>3.0</v>
      </c>
      <c r="AD7" s="14">
        <v>1.0</v>
      </c>
      <c r="AE7" s="14">
        <v>5.0</v>
      </c>
      <c r="AF7" s="14">
        <v>1.0</v>
      </c>
      <c r="AG7" s="14">
        <v>5.0</v>
      </c>
      <c r="AH7" s="14">
        <v>1.0</v>
      </c>
      <c r="AI7" s="14">
        <v>4.0</v>
      </c>
      <c r="AJ7" s="14">
        <v>3.0</v>
      </c>
      <c r="AK7" s="13"/>
      <c r="AL7" s="13"/>
      <c r="AM7" s="13"/>
      <c r="AN7" s="13"/>
      <c r="AO7" s="13"/>
      <c r="AP7" s="13"/>
    </row>
    <row r="8">
      <c r="A8" s="12">
        <v>45371.92607453704</v>
      </c>
      <c r="B8" s="13" t="s">
        <v>229</v>
      </c>
      <c r="C8" s="14">
        <v>65.0</v>
      </c>
      <c r="D8" s="13" t="s">
        <v>35</v>
      </c>
      <c r="E8" s="13" t="s">
        <v>36</v>
      </c>
      <c r="F8" s="13" t="s">
        <v>37</v>
      </c>
      <c r="G8" s="13" t="s">
        <v>36</v>
      </c>
      <c r="H8" s="13" t="s">
        <v>87</v>
      </c>
      <c r="I8" s="13" t="s">
        <v>88</v>
      </c>
      <c r="J8" s="13" t="s">
        <v>89</v>
      </c>
      <c r="K8" s="13" t="s">
        <v>90</v>
      </c>
      <c r="L8" s="13" t="s">
        <v>37</v>
      </c>
      <c r="M8" s="13" t="s">
        <v>58</v>
      </c>
      <c r="N8" s="13" t="s">
        <v>91</v>
      </c>
      <c r="O8" s="13" t="s">
        <v>91</v>
      </c>
      <c r="P8" s="13" t="s">
        <v>92</v>
      </c>
      <c r="Q8" s="13" t="s">
        <v>53</v>
      </c>
      <c r="R8" s="13" t="s">
        <v>43</v>
      </c>
      <c r="S8" s="14">
        <v>5.0</v>
      </c>
      <c r="T8" s="14">
        <v>5.0</v>
      </c>
      <c r="U8" s="14">
        <v>5.0</v>
      </c>
      <c r="V8" s="14">
        <v>5.0</v>
      </c>
      <c r="W8" s="14">
        <v>5.0</v>
      </c>
      <c r="X8" s="14">
        <v>5.0</v>
      </c>
      <c r="Y8" s="14">
        <v>3.0</v>
      </c>
      <c r="Z8" s="14">
        <v>5.0</v>
      </c>
      <c r="AA8" s="14">
        <v>5.0</v>
      </c>
      <c r="AB8" s="14">
        <v>3.0</v>
      </c>
      <c r="AC8" s="14">
        <v>4.0</v>
      </c>
      <c r="AD8" s="14">
        <v>5.0</v>
      </c>
      <c r="AE8" s="14">
        <v>5.0</v>
      </c>
      <c r="AF8" s="14">
        <v>1.0</v>
      </c>
      <c r="AG8" s="14">
        <v>5.0</v>
      </c>
      <c r="AH8" s="14">
        <v>1.0</v>
      </c>
      <c r="AI8" s="14">
        <v>5.0</v>
      </c>
      <c r="AJ8" s="14">
        <v>5.0</v>
      </c>
      <c r="AK8" s="13"/>
      <c r="AL8" s="13"/>
      <c r="AM8" s="13"/>
      <c r="AN8" s="13"/>
      <c r="AO8" s="13"/>
      <c r="AP8" s="13"/>
    </row>
    <row r="9">
      <c r="A9" s="12">
        <v>45372.37665052083</v>
      </c>
      <c r="B9" s="13" t="s">
        <v>230</v>
      </c>
      <c r="C9" s="14">
        <v>68.0</v>
      </c>
      <c r="D9" s="13" t="s">
        <v>35</v>
      </c>
      <c r="E9" s="13" t="s">
        <v>36</v>
      </c>
      <c r="F9" s="13" t="s">
        <v>37</v>
      </c>
      <c r="G9" s="13" t="s">
        <v>36</v>
      </c>
      <c r="H9" s="13" t="s">
        <v>103</v>
      </c>
      <c r="I9" s="13" t="s">
        <v>104</v>
      </c>
      <c r="J9" s="13" t="s">
        <v>105</v>
      </c>
      <c r="K9" s="13" t="s">
        <v>106</v>
      </c>
      <c r="L9" s="13" t="s">
        <v>37</v>
      </c>
      <c r="M9" s="13" t="s">
        <v>107</v>
      </c>
      <c r="N9" s="13" t="s">
        <v>43</v>
      </c>
      <c r="O9" s="13" t="s">
        <v>43</v>
      </c>
      <c r="P9" s="13" t="s">
        <v>43</v>
      </c>
      <c r="Q9" s="13" t="s">
        <v>43</v>
      </c>
      <c r="R9" s="13" t="s">
        <v>43</v>
      </c>
      <c r="S9" s="14">
        <v>5.0</v>
      </c>
      <c r="T9" s="14">
        <v>3.0</v>
      </c>
      <c r="U9" s="14">
        <v>2.0</v>
      </c>
      <c r="V9" s="14">
        <v>5.0</v>
      </c>
      <c r="W9" s="14">
        <v>4.0</v>
      </c>
      <c r="X9" s="14">
        <v>5.0</v>
      </c>
      <c r="Y9" s="14">
        <v>2.0</v>
      </c>
      <c r="Z9" s="14">
        <v>1.0</v>
      </c>
      <c r="AA9" s="14">
        <v>1.0</v>
      </c>
      <c r="AB9" s="14">
        <v>1.0</v>
      </c>
      <c r="AC9" s="14">
        <v>5.0</v>
      </c>
      <c r="AD9" s="14">
        <v>1.0</v>
      </c>
      <c r="AE9" s="14">
        <v>2.0</v>
      </c>
      <c r="AF9" s="14">
        <v>2.0</v>
      </c>
      <c r="AG9" s="14">
        <v>1.0</v>
      </c>
      <c r="AH9" s="14">
        <v>3.0</v>
      </c>
      <c r="AI9" s="14">
        <v>4.0</v>
      </c>
      <c r="AJ9" s="14">
        <v>4.0</v>
      </c>
      <c r="AK9" s="13"/>
      <c r="AL9" s="13"/>
      <c r="AM9" s="13"/>
      <c r="AN9" s="13"/>
      <c r="AO9" s="13"/>
      <c r="AP9" s="13"/>
    </row>
    <row r="10">
      <c r="A10" s="12">
        <v>45372.385660914355</v>
      </c>
      <c r="B10" s="13" t="s">
        <v>231</v>
      </c>
      <c r="C10" s="14">
        <v>53.0</v>
      </c>
      <c r="D10" s="13" t="s">
        <v>35</v>
      </c>
      <c r="E10" s="13" t="s">
        <v>36</v>
      </c>
      <c r="F10" s="13" t="s">
        <v>37</v>
      </c>
      <c r="G10" s="13" t="s">
        <v>37</v>
      </c>
      <c r="H10" s="13" t="s">
        <v>116</v>
      </c>
      <c r="I10" s="13" t="s">
        <v>117</v>
      </c>
      <c r="J10" s="13" t="s">
        <v>118</v>
      </c>
      <c r="K10" s="13" t="s">
        <v>119</v>
      </c>
      <c r="L10" s="13" t="s">
        <v>37</v>
      </c>
      <c r="M10" s="13" t="s">
        <v>58</v>
      </c>
      <c r="N10" s="13" t="s">
        <v>58</v>
      </c>
      <c r="O10" s="13" t="s">
        <v>58</v>
      </c>
      <c r="P10" s="13" t="s">
        <v>53</v>
      </c>
      <c r="Q10" s="13" t="s">
        <v>43</v>
      </c>
      <c r="R10" s="13" t="s">
        <v>43</v>
      </c>
      <c r="S10" s="14">
        <v>5.0</v>
      </c>
      <c r="T10" s="14">
        <v>5.0</v>
      </c>
      <c r="U10" s="14">
        <v>5.0</v>
      </c>
      <c r="V10" s="14">
        <v>5.0</v>
      </c>
      <c r="W10" s="14">
        <v>5.0</v>
      </c>
      <c r="X10" s="14">
        <v>5.0</v>
      </c>
      <c r="Y10" s="14">
        <v>5.0</v>
      </c>
      <c r="Z10" s="14">
        <v>5.0</v>
      </c>
      <c r="AA10" s="14">
        <v>5.0</v>
      </c>
      <c r="AB10" s="14">
        <v>1.0</v>
      </c>
      <c r="AC10" s="14">
        <v>5.0</v>
      </c>
      <c r="AD10" s="14">
        <v>5.0</v>
      </c>
      <c r="AE10" s="14">
        <v>5.0</v>
      </c>
      <c r="AF10" s="14">
        <v>1.0</v>
      </c>
      <c r="AG10" s="14">
        <v>1.0</v>
      </c>
      <c r="AH10" s="14">
        <v>1.0</v>
      </c>
      <c r="AI10" s="14">
        <v>5.0</v>
      </c>
      <c r="AJ10" s="14">
        <v>1.0</v>
      </c>
      <c r="AK10" s="13"/>
      <c r="AL10" s="13"/>
      <c r="AM10" s="13"/>
      <c r="AN10" s="13"/>
      <c r="AO10" s="13"/>
      <c r="AP10" s="13"/>
    </row>
    <row r="11">
      <c r="A11" s="12">
        <v>45372.38814657407</v>
      </c>
      <c r="B11" s="13" t="s">
        <v>232</v>
      </c>
      <c r="C11" s="14">
        <v>62.0</v>
      </c>
      <c r="D11" s="13" t="s">
        <v>35</v>
      </c>
      <c r="E11" s="13" t="s">
        <v>36</v>
      </c>
      <c r="F11" s="13" t="s">
        <v>37</v>
      </c>
      <c r="G11" s="13" t="s">
        <v>36</v>
      </c>
      <c r="H11" s="13" t="s">
        <v>120</v>
      </c>
      <c r="I11" s="13" t="s">
        <v>121</v>
      </c>
      <c r="J11" s="13" t="s">
        <v>122</v>
      </c>
      <c r="K11" s="13" t="s">
        <v>123</v>
      </c>
      <c r="L11" s="13" t="s">
        <v>37</v>
      </c>
      <c r="M11" s="13" t="s">
        <v>58</v>
      </c>
      <c r="N11" s="13" t="s">
        <v>92</v>
      </c>
      <c r="O11" s="13" t="s">
        <v>124</v>
      </c>
      <c r="P11" s="13" t="s">
        <v>53</v>
      </c>
      <c r="Q11" s="13" t="s">
        <v>43</v>
      </c>
      <c r="R11" s="13" t="s">
        <v>43</v>
      </c>
      <c r="S11" s="14">
        <v>5.0</v>
      </c>
      <c r="T11" s="14">
        <v>5.0</v>
      </c>
      <c r="U11" s="14">
        <v>5.0</v>
      </c>
      <c r="V11" s="14">
        <v>5.0</v>
      </c>
      <c r="W11" s="14">
        <v>5.0</v>
      </c>
      <c r="X11" s="14">
        <v>5.0</v>
      </c>
      <c r="Y11" s="14">
        <v>5.0</v>
      </c>
      <c r="Z11" s="14">
        <v>5.0</v>
      </c>
      <c r="AA11" s="14">
        <v>5.0</v>
      </c>
      <c r="AB11" s="14">
        <v>1.0</v>
      </c>
      <c r="AC11" s="14">
        <v>5.0</v>
      </c>
      <c r="AD11" s="14">
        <v>1.0</v>
      </c>
      <c r="AE11" s="14">
        <v>1.0</v>
      </c>
      <c r="AF11" s="14">
        <v>1.0</v>
      </c>
      <c r="AG11" s="14">
        <v>1.0</v>
      </c>
      <c r="AH11" s="14">
        <v>1.0</v>
      </c>
      <c r="AI11" s="14">
        <v>1.0</v>
      </c>
      <c r="AJ11" s="14">
        <v>1.0</v>
      </c>
      <c r="AK11" s="13"/>
      <c r="AL11" s="13"/>
      <c r="AM11" s="13"/>
      <c r="AN11" s="13"/>
      <c r="AO11" s="13"/>
      <c r="AP11" s="13"/>
    </row>
    <row r="12">
      <c r="A12" s="12">
        <v>45372.88650288194</v>
      </c>
      <c r="B12" s="13" t="s">
        <v>233</v>
      </c>
      <c r="C12" s="14">
        <v>76.0</v>
      </c>
      <c r="D12" s="13" t="s">
        <v>35</v>
      </c>
      <c r="E12" s="13" t="s">
        <v>36</v>
      </c>
      <c r="F12" s="13" t="s">
        <v>37</v>
      </c>
      <c r="G12" s="13" t="s">
        <v>36</v>
      </c>
      <c r="H12" s="13" t="s">
        <v>131</v>
      </c>
      <c r="I12" s="13" t="s">
        <v>132</v>
      </c>
      <c r="J12" s="13" t="s">
        <v>133</v>
      </c>
      <c r="K12" s="13" t="s">
        <v>134</v>
      </c>
      <c r="L12" s="13" t="s">
        <v>37</v>
      </c>
      <c r="M12" s="13" t="s">
        <v>135</v>
      </c>
      <c r="N12" s="13" t="s">
        <v>43</v>
      </c>
      <c r="O12" s="13" t="s">
        <v>43</v>
      </c>
      <c r="P12" s="13" t="s">
        <v>43</v>
      </c>
      <c r="Q12" s="13" t="s">
        <v>53</v>
      </c>
      <c r="R12" s="13" t="s">
        <v>43</v>
      </c>
      <c r="S12" s="14">
        <v>5.0</v>
      </c>
      <c r="T12" s="14">
        <v>1.0</v>
      </c>
      <c r="U12" s="14">
        <v>1.0</v>
      </c>
      <c r="V12" s="14">
        <v>5.0</v>
      </c>
      <c r="W12" s="14">
        <v>5.0</v>
      </c>
      <c r="X12" s="14">
        <v>3.0</v>
      </c>
      <c r="Y12" s="14">
        <v>5.0</v>
      </c>
      <c r="Z12" s="14">
        <v>1.0</v>
      </c>
      <c r="AA12" s="14">
        <v>1.0</v>
      </c>
      <c r="AB12" s="14">
        <v>1.0</v>
      </c>
      <c r="AC12" s="14">
        <v>5.0</v>
      </c>
      <c r="AD12" s="14">
        <v>1.0</v>
      </c>
      <c r="AE12" s="14">
        <v>1.0</v>
      </c>
      <c r="AF12" s="14">
        <v>1.0</v>
      </c>
      <c r="AG12" s="14">
        <v>1.0</v>
      </c>
      <c r="AH12" s="14">
        <v>1.0</v>
      </c>
      <c r="AI12" s="14">
        <v>1.0</v>
      </c>
      <c r="AJ12" s="14">
        <v>1.0</v>
      </c>
      <c r="AK12" s="13"/>
      <c r="AL12" s="13"/>
      <c r="AM12" s="13"/>
      <c r="AN12" s="13"/>
      <c r="AO12" s="13"/>
      <c r="AP12" s="13"/>
    </row>
    <row r="13">
      <c r="A13" s="12">
        <v>45372.894389270834</v>
      </c>
      <c r="B13" s="13" t="s">
        <v>234</v>
      </c>
      <c r="C13" s="14">
        <v>61.0</v>
      </c>
      <c r="D13" s="13" t="s">
        <v>35</v>
      </c>
      <c r="E13" s="13" t="s">
        <v>36</v>
      </c>
      <c r="F13" s="13" t="s">
        <v>36</v>
      </c>
      <c r="G13" s="13" t="s">
        <v>36</v>
      </c>
      <c r="H13" s="13" t="s">
        <v>136</v>
      </c>
      <c r="I13" s="13" t="s">
        <v>137</v>
      </c>
      <c r="J13" s="13" t="s">
        <v>138</v>
      </c>
      <c r="K13" s="13" t="s">
        <v>139</v>
      </c>
      <c r="L13" s="13" t="s">
        <v>36</v>
      </c>
      <c r="M13" s="13" t="s">
        <v>58</v>
      </c>
      <c r="N13" s="13" t="s">
        <v>43</v>
      </c>
      <c r="O13" s="13" t="s">
        <v>43</v>
      </c>
      <c r="P13" s="13" t="s">
        <v>53</v>
      </c>
      <c r="Q13" s="13" t="s">
        <v>43</v>
      </c>
      <c r="R13" s="13" t="s">
        <v>43</v>
      </c>
      <c r="S13" s="14">
        <v>5.0</v>
      </c>
      <c r="T13" s="14">
        <v>5.0</v>
      </c>
      <c r="U13" s="14">
        <v>5.0</v>
      </c>
      <c r="V13" s="14">
        <v>5.0</v>
      </c>
      <c r="W13" s="14">
        <v>5.0</v>
      </c>
      <c r="X13" s="14">
        <v>5.0</v>
      </c>
      <c r="Y13" s="14">
        <v>1.0</v>
      </c>
      <c r="Z13" s="14">
        <v>1.0</v>
      </c>
      <c r="AA13" s="14">
        <v>5.0</v>
      </c>
      <c r="AB13" s="14">
        <v>1.0</v>
      </c>
      <c r="AC13" s="14">
        <v>5.0</v>
      </c>
      <c r="AD13" s="14">
        <v>1.0</v>
      </c>
      <c r="AE13" s="14">
        <v>1.0</v>
      </c>
      <c r="AF13" s="14">
        <v>1.0</v>
      </c>
      <c r="AG13" s="14">
        <v>1.0</v>
      </c>
      <c r="AH13" s="14">
        <v>1.0</v>
      </c>
      <c r="AI13" s="14">
        <v>1.0</v>
      </c>
      <c r="AJ13" s="14">
        <v>1.0</v>
      </c>
      <c r="AK13" s="13"/>
      <c r="AL13" s="13"/>
      <c r="AM13" s="13"/>
      <c r="AN13" s="13"/>
      <c r="AO13" s="13"/>
      <c r="AP13" s="13"/>
    </row>
    <row r="14">
      <c r="A14" s="12">
        <v>45373.800523680555</v>
      </c>
      <c r="B14" s="13" t="s">
        <v>235</v>
      </c>
      <c r="C14" s="14">
        <v>56.0</v>
      </c>
      <c r="D14" s="13" t="s">
        <v>35</v>
      </c>
      <c r="E14" s="13" t="s">
        <v>36</v>
      </c>
      <c r="F14" s="13" t="s">
        <v>37</v>
      </c>
      <c r="G14" s="13" t="s">
        <v>37</v>
      </c>
      <c r="H14" s="13" t="s">
        <v>150</v>
      </c>
      <c r="I14" s="13" t="s">
        <v>158</v>
      </c>
      <c r="J14" s="13" t="s">
        <v>159</v>
      </c>
      <c r="K14" s="13" t="s">
        <v>160</v>
      </c>
      <c r="L14" s="13" t="s">
        <v>37</v>
      </c>
      <c r="M14" s="13" t="s">
        <v>107</v>
      </c>
      <c r="N14" s="13" t="s">
        <v>43</v>
      </c>
      <c r="O14" s="13" t="s">
        <v>43</v>
      </c>
      <c r="P14" s="13" t="s">
        <v>53</v>
      </c>
      <c r="Q14" s="13" t="s">
        <v>53</v>
      </c>
      <c r="R14" s="13" t="s">
        <v>53</v>
      </c>
      <c r="S14" s="14">
        <v>5.0</v>
      </c>
      <c r="T14" s="14">
        <v>5.0</v>
      </c>
      <c r="U14" s="14">
        <v>1.0</v>
      </c>
      <c r="V14" s="14">
        <v>5.0</v>
      </c>
      <c r="W14" s="14">
        <v>3.0</v>
      </c>
      <c r="X14" s="14">
        <v>4.0</v>
      </c>
      <c r="Y14" s="14">
        <v>4.0</v>
      </c>
      <c r="Z14" s="14">
        <v>1.0</v>
      </c>
      <c r="AA14" s="14">
        <v>1.0</v>
      </c>
      <c r="AB14" s="14">
        <v>1.0</v>
      </c>
      <c r="AC14" s="14">
        <v>5.0</v>
      </c>
      <c r="AD14" s="14">
        <v>1.0</v>
      </c>
      <c r="AE14" s="14">
        <v>4.0</v>
      </c>
      <c r="AF14" s="14">
        <v>1.0</v>
      </c>
      <c r="AG14" s="14">
        <v>1.0</v>
      </c>
      <c r="AH14" s="14">
        <v>1.0</v>
      </c>
      <c r="AI14" s="14">
        <v>1.0</v>
      </c>
      <c r="AJ14" s="14">
        <v>1.0</v>
      </c>
      <c r="AK14" s="13"/>
      <c r="AL14" s="13"/>
      <c r="AM14" s="13"/>
      <c r="AN14" s="13"/>
      <c r="AO14" s="13"/>
      <c r="AP14" s="13"/>
    </row>
    <row r="15">
      <c r="A15" s="12">
        <v>45373.81116703704</v>
      </c>
      <c r="B15" s="13" t="s">
        <v>236</v>
      </c>
      <c r="C15" s="14">
        <v>60.0</v>
      </c>
      <c r="D15" s="13" t="s">
        <v>35</v>
      </c>
      <c r="E15" s="13" t="s">
        <v>37</v>
      </c>
      <c r="F15" s="13" t="s">
        <v>37</v>
      </c>
      <c r="G15" s="13" t="s">
        <v>36</v>
      </c>
      <c r="H15" s="13" t="s">
        <v>164</v>
      </c>
      <c r="I15" s="13" t="s">
        <v>165</v>
      </c>
      <c r="J15" s="13" t="s">
        <v>166</v>
      </c>
      <c r="K15" s="13" t="s">
        <v>167</v>
      </c>
      <c r="L15" s="13" t="s">
        <v>37</v>
      </c>
      <c r="M15" s="13" t="s">
        <v>43</v>
      </c>
      <c r="N15" s="13" t="s">
        <v>43</v>
      </c>
      <c r="O15" s="13" t="s">
        <v>43</v>
      </c>
      <c r="P15" s="13" t="s">
        <v>43</v>
      </c>
      <c r="Q15" s="13" t="s">
        <v>43</v>
      </c>
      <c r="R15" s="13" t="s">
        <v>43</v>
      </c>
      <c r="S15" s="14">
        <v>5.0</v>
      </c>
      <c r="T15" s="14">
        <v>1.0</v>
      </c>
      <c r="U15" s="14">
        <v>1.0</v>
      </c>
      <c r="V15" s="14">
        <v>1.0</v>
      </c>
      <c r="W15" s="14">
        <v>1.0</v>
      </c>
      <c r="X15" s="14">
        <v>1.0</v>
      </c>
      <c r="Y15" s="14">
        <v>3.0</v>
      </c>
      <c r="Z15" s="14">
        <v>1.0</v>
      </c>
      <c r="AA15" s="14">
        <v>1.0</v>
      </c>
      <c r="AB15" s="14">
        <v>1.0</v>
      </c>
      <c r="AC15" s="14">
        <v>1.0</v>
      </c>
      <c r="AD15" s="14">
        <v>1.0</v>
      </c>
      <c r="AE15" s="14">
        <v>2.0</v>
      </c>
      <c r="AF15" s="14">
        <v>1.0</v>
      </c>
      <c r="AG15" s="14">
        <v>1.0</v>
      </c>
      <c r="AH15" s="14">
        <v>1.0</v>
      </c>
      <c r="AI15" s="14">
        <v>1.0</v>
      </c>
      <c r="AJ15" s="14">
        <v>1.0</v>
      </c>
      <c r="AK15" s="13"/>
      <c r="AL15" s="13"/>
      <c r="AM15" s="13"/>
      <c r="AN15" s="13"/>
      <c r="AO15" s="13"/>
      <c r="AP15" s="13"/>
    </row>
    <row r="16">
      <c r="A16" s="12">
        <v>45373.817313541665</v>
      </c>
      <c r="B16" s="13" t="s">
        <v>237</v>
      </c>
      <c r="C16" s="14">
        <v>55.0</v>
      </c>
      <c r="D16" s="13" t="s">
        <v>35</v>
      </c>
      <c r="E16" s="13" t="s">
        <v>36</v>
      </c>
      <c r="F16" s="13" t="s">
        <v>37</v>
      </c>
      <c r="G16" s="13" t="s">
        <v>36</v>
      </c>
      <c r="H16" s="13" t="s">
        <v>168</v>
      </c>
      <c r="I16" s="13" t="s">
        <v>169</v>
      </c>
      <c r="J16" s="13" t="s">
        <v>170</v>
      </c>
      <c r="K16" s="13" t="s">
        <v>171</v>
      </c>
      <c r="L16" s="13" t="s">
        <v>37</v>
      </c>
      <c r="M16" s="13" t="s">
        <v>107</v>
      </c>
      <c r="N16" s="13" t="s">
        <v>43</v>
      </c>
      <c r="O16" s="13" t="s">
        <v>43</v>
      </c>
      <c r="P16" s="13" t="s">
        <v>43</v>
      </c>
      <c r="Q16" s="13" t="s">
        <v>43</v>
      </c>
      <c r="R16" s="13" t="s">
        <v>43</v>
      </c>
      <c r="S16" s="14">
        <v>5.0</v>
      </c>
      <c r="T16" s="14">
        <v>1.0</v>
      </c>
      <c r="U16" s="14">
        <v>1.0</v>
      </c>
      <c r="V16" s="14">
        <v>5.0</v>
      </c>
      <c r="W16" s="14">
        <v>5.0</v>
      </c>
      <c r="X16" s="14">
        <v>1.0</v>
      </c>
      <c r="Y16" s="14">
        <v>1.0</v>
      </c>
      <c r="Z16" s="14">
        <v>1.0</v>
      </c>
      <c r="AA16" s="14">
        <v>1.0</v>
      </c>
      <c r="AB16" s="14">
        <v>1.0</v>
      </c>
      <c r="AC16" s="14">
        <v>4.0</v>
      </c>
      <c r="AD16" s="14">
        <v>1.0</v>
      </c>
      <c r="AE16" s="14">
        <v>5.0</v>
      </c>
      <c r="AF16" s="14">
        <v>1.0</v>
      </c>
      <c r="AG16" s="14">
        <v>1.0</v>
      </c>
      <c r="AH16" s="14">
        <v>1.0</v>
      </c>
      <c r="AI16" s="14">
        <v>1.0</v>
      </c>
      <c r="AJ16" s="14">
        <v>1.0</v>
      </c>
      <c r="AK16" s="13"/>
      <c r="AL16" s="13"/>
      <c r="AM16" s="13"/>
      <c r="AN16" s="13"/>
      <c r="AO16" s="13"/>
      <c r="AP16" s="13"/>
    </row>
    <row r="19">
      <c r="A19" s="5"/>
      <c r="B19" s="5" t="s">
        <v>172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  <c r="L19" s="5" t="s">
        <v>182</v>
      </c>
      <c r="M19" s="5" t="s">
        <v>183</v>
      </c>
      <c r="N19" s="5" t="s">
        <v>184</v>
      </c>
      <c r="O19" s="5" t="s">
        <v>185</v>
      </c>
      <c r="P19" s="5" t="s">
        <v>186</v>
      </c>
      <c r="Q19" s="5" t="s">
        <v>187</v>
      </c>
      <c r="R19" s="5" t="s">
        <v>188</v>
      </c>
      <c r="S19" s="5" t="s">
        <v>189</v>
      </c>
      <c r="T19" s="3" t="s">
        <v>190</v>
      </c>
    </row>
    <row r="20">
      <c r="B20" s="14">
        <v>5.0</v>
      </c>
      <c r="C20" s="14">
        <v>1.0</v>
      </c>
      <c r="D20" s="14">
        <v>1.0</v>
      </c>
      <c r="E20" s="14">
        <v>4.0</v>
      </c>
      <c r="F20" s="14">
        <v>1.0</v>
      </c>
      <c r="G20" s="14">
        <v>1.0</v>
      </c>
      <c r="H20" s="14">
        <v>1.0</v>
      </c>
      <c r="I20" s="14">
        <v>1.0</v>
      </c>
      <c r="J20" s="14">
        <v>3.0</v>
      </c>
      <c r="K20" s="14">
        <v>1.0</v>
      </c>
      <c r="L20" s="14">
        <v>1.0</v>
      </c>
      <c r="M20" s="14">
        <v>1.0</v>
      </c>
      <c r="N20" s="14">
        <v>1.0</v>
      </c>
      <c r="O20" s="14">
        <v>1.0</v>
      </c>
      <c r="P20" s="14">
        <v>1.0</v>
      </c>
      <c r="Q20" s="14">
        <v>1.0</v>
      </c>
      <c r="R20" s="14">
        <v>1.0</v>
      </c>
      <c r="S20" s="14">
        <v>1.0</v>
      </c>
    </row>
    <row r="21">
      <c r="B21" s="14">
        <v>4.0</v>
      </c>
      <c r="C21" s="14">
        <v>1.0</v>
      </c>
      <c r="D21" s="14">
        <v>1.0</v>
      </c>
      <c r="E21" s="14">
        <v>5.0</v>
      </c>
      <c r="F21" s="14">
        <v>1.0</v>
      </c>
      <c r="G21" s="14">
        <v>1.0</v>
      </c>
      <c r="H21" s="14">
        <v>1.0</v>
      </c>
      <c r="I21" s="14">
        <v>1.0</v>
      </c>
      <c r="J21" s="14">
        <v>1.0</v>
      </c>
      <c r="K21" s="14">
        <v>1.0</v>
      </c>
      <c r="L21" s="14">
        <v>1.0</v>
      </c>
      <c r="M21" s="14">
        <v>1.0</v>
      </c>
      <c r="N21" s="14">
        <v>1.0</v>
      </c>
      <c r="O21" s="14">
        <v>1.0</v>
      </c>
      <c r="P21" s="14">
        <v>1.0</v>
      </c>
      <c r="Q21" s="14">
        <v>1.0</v>
      </c>
      <c r="R21" s="14">
        <v>1.0</v>
      </c>
      <c r="S21" s="14">
        <v>1.0</v>
      </c>
    </row>
    <row r="22">
      <c r="B22" s="14">
        <v>5.0</v>
      </c>
      <c r="C22" s="14">
        <v>5.0</v>
      </c>
      <c r="D22" s="14">
        <v>1.0</v>
      </c>
      <c r="E22" s="14">
        <v>5.0</v>
      </c>
      <c r="F22" s="14">
        <v>5.0</v>
      </c>
      <c r="G22" s="14">
        <v>1.0</v>
      </c>
      <c r="H22" s="14">
        <v>1.0</v>
      </c>
      <c r="I22" s="14">
        <v>1.0</v>
      </c>
      <c r="J22" s="14">
        <v>1.0</v>
      </c>
      <c r="K22" s="14">
        <v>1.0</v>
      </c>
      <c r="L22" s="14">
        <v>5.0</v>
      </c>
      <c r="M22" s="14">
        <v>1.0</v>
      </c>
      <c r="N22" s="14">
        <v>1.0</v>
      </c>
      <c r="O22" s="14">
        <v>1.0</v>
      </c>
      <c r="P22" s="14">
        <v>1.0</v>
      </c>
      <c r="Q22" s="14">
        <v>1.0</v>
      </c>
      <c r="R22" s="14">
        <v>1.0</v>
      </c>
      <c r="S22" s="14">
        <v>1.0</v>
      </c>
    </row>
    <row r="23">
      <c r="B23" s="14">
        <v>5.0</v>
      </c>
      <c r="C23" s="14">
        <v>1.0</v>
      </c>
      <c r="D23" s="14">
        <v>3.0</v>
      </c>
      <c r="E23" s="14">
        <v>5.0</v>
      </c>
      <c r="F23" s="14">
        <v>2.0</v>
      </c>
      <c r="G23" s="14">
        <v>4.0</v>
      </c>
      <c r="H23" s="14">
        <v>1.0</v>
      </c>
      <c r="I23" s="14">
        <v>1.0</v>
      </c>
      <c r="J23" s="14">
        <v>2.0</v>
      </c>
      <c r="K23" s="14">
        <v>1.0</v>
      </c>
      <c r="L23" s="14">
        <v>1.0</v>
      </c>
      <c r="M23" s="14">
        <v>1.0</v>
      </c>
      <c r="N23" s="14">
        <v>1.0</v>
      </c>
      <c r="O23" s="14">
        <v>1.0</v>
      </c>
      <c r="P23" s="14">
        <v>1.0</v>
      </c>
      <c r="Q23" s="14">
        <v>1.0</v>
      </c>
      <c r="R23" s="14">
        <v>1.0</v>
      </c>
      <c r="S23" s="14">
        <v>1.0</v>
      </c>
    </row>
    <row r="24">
      <c r="B24" s="14">
        <v>5.0</v>
      </c>
      <c r="C24" s="14">
        <v>5.0</v>
      </c>
      <c r="D24" s="14">
        <v>2.0</v>
      </c>
      <c r="E24" s="14">
        <v>5.0</v>
      </c>
      <c r="F24" s="14">
        <v>1.0</v>
      </c>
      <c r="G24" s="14">
        <v>5.0</v>
      </c>
      <c r="H24" s="14">
        <v>3.0</v>
      </c>
      <c r="I24" s="14">
        <v>5.0</v>
      </c>
      <c r="J24" s="14">
        <v>1.0</v>
      </c>
      <c r="K24" s="14">
        <v>1.0</v>
      </c>
      <c r="L24" s="14">
        <v>4.0</v>
      </c>
      <c r="M24" s="14">
        <v>1.0</v>
      </c>
      <c r="N24" s="14">
        <v>5.0</v>
      </c>
      <c r="O24" s="14">
        <v>1.0</v>
      </c>
      <c r="P24" s="14">
        <v>5.0</v>
      </c>
      <c r="Q24" s="14">
        <v>3.0</v>
      </c>
      <c r="R24" s="14">
        <v>1.0</v>
      </c>
      <c r="S24" s="14">
        <v>1.0</v>
      </c>
    </row>
    <row r="25">
      <c r="B25" s="14">
        <v>5.0</v>
      </c>
      <c r="C25" s="14">
        <v>5.0</v>
      </c>
      <c r="D25" s="14">
        <v>5.0</v>
      </c>
      <c r="E25" s="14">
        <v>5.0</v>
      </c>
      <c r="F25" s="14">
        <v>5.0</v>
      </c>
      <c r="G25" s="14">
        <v>1.0</v>
      </c>
      <c r="H25" s="14">
        <v>4.0</v>
      </c>
      <c r="I25" s="14">
        <v>5.0</v>
      </c>
      <c r="J25" s="14">
        <v>1.0</v>
      </c>
      <c r="K25" s="14">
        <v>1.0</v>
      </c>
      <c r="L25" s="14">
        <v>3.0</v>
      </c>
      <c r="M25" s="14">
        <v>1.0</v>
      </c>
      <c r="N25" s="14">
        <v>5.0</v>
      </c>
      <c r="O25" s="14">
        <v>1.0</v>
      </c>
      <c r="P25" s="14">
        <v>5.0</v>
      </c>
      <c r="Q25" s="14">
        <v>1.0</v>
      </c>
      <c r="R25" s="14">
        <v>4.0</v>
      </c>
      <c r="S25" s="14">
        <v>3.0</v>
      </c>
    </row>
    <row r="26">
      <c r="B26" s="14">
        <v>5.0</v>
      </c>
      <c r="C26" s="14">
        <v>5.0</v>
      </c>
      <c r="D26" s="14">
        <v>5.0</v>
      </c>
      <c r="E26" s="14">
        <v>5.0</v>
      </c>
      <c r="F26" s="14">
        <v>5.0</v>
      </c>
      <c r="G26" s="14">
        <v>5.0</v>
      </c>
      <c r="H26" s="14">
        <v>3.0</v>
      </c>
      <c r="I26" s="14">
        <v>5.0</v>
      </c>
      <c r="J26" s="14">
        <v>5.0</v>
      </c>
      <c r="K26" s="14">
        <v>3.0</v>
      </c>
      <c r="L26" s="14">
        <v>4.0</v>
      </c>
      <c r="M26" s="14">
        <v>5.0</v>
      </c>
      <c r="N26" s="14">
        <v>5.0</v>
      </c>
      <c r="O26" s="14">
        <v>1.0</v>
      </c>
      <c r="P26" s="14">
        <v>5.0</v>
      </c>
      <c r="Q26" s="14">
        <v>1.0</v>
      </c>
      <c r="R26" s="14">
        <v>5.0</v>
      </c>
      <c r="S26" s="14">
        <v>5.0</v>
      </c>
    </row>
    <row r="27">
      <c r="B27" s="14">
        <v>5.0</v>
      </c>
      <c r="C27" s="14">
        <v>3.0</v>
      </c>
      <c r="D27" s="14">
        <v>2.0</v>
      </c>
      <c r="E27" s="14">
        <v>5.0</v>
      </c>
      <c r="F27" s="14">
        <v>4.0</v>
      </c>
      <c r="G27" s="14">
        <v>5.0</v>
      </c>
      <c r="H27" s="14">
        <v>2.0</v>
      </c>
      <c r="I27" s="14">
        <v>1.0</v>
      </c>
      <c r="J27" s="14">
        <v>1.0</v>
      </c>
      <c r="K27" s="14">
        <v>1.0</v>
      </c>
      <c r="L27" s="14">
        <v>5.0</v>
      </c>
      <c r="M27" s="14">
        <v>1.0</v>
      </c>
      <c r="N27" s="14">
        <v>2.0</v>
      </c>
      <c r="O27" s="14">
        <v>2.0</v>
      </c>
      <c r="P27" s="14">
        <v>1.0</v>
      </c>
      <c r="Q27" s="14">
        <v>3.0</v>
      </c>
      <c r="R27" s="14">
        <v>4.0</v>
      </c>
      <c r="S27" s="14">
        <v>4.0</v>
      </c>
    </row>
    <row r="28">
      <c r="B28" s="14">
        <v>5.0</v>
      </c>
      <c r="C28" s="14">
        <v>5.0</v>
      </c>
      <c r="D28" s="14">
        <v>5.0</v>
      </c>
      <c r="E28" s="14">
        <v>5.0</v>
      </c>
      <c r="F28" s="14">
        <v>5.0</v>
      </c>
      <c r="G28" s="14">
        <v>5.0</v>
      </c>
      <c r="H28" s="14">
        <v>5.0</v>
      </c>
      <c r="I28" s="14">
        <v>5.0</v>
      </c>
      <c r="J28" s="14">
        <v>5.0</v>
      </c>
      <c r="K28" s="14">
        <v>1.0</v>
      </c>
      <c r="L28" s="14">
        <v>5.0</v>
      </c>
      <c r="M28" s="14">
        <v>5.0</v>
      </c>
      <c r="N28" s="14">
        <v>5.0</v>
      </c>
      <c r="O28" s="14">
        <v>1.0</v>
      </c>
      <c r="P28" s="14">
        <v>1.0</v>
      </c>
      <c r="Q28" s="14">
        <v>1.0</v>
      </c>
      <c r="R28" s="14">
        <v>5.0</v>
      </c>
      <c r="S28" s="14">
        <v>1.0</v>
      </c>
    </row>
    <row r="29">
      <c r="B29" s="14">
        <v>5.0</v>
      </c>
      <c r="C29" s="14">
        <v>5.0</v>
      </c>
      <c r="D29" s="14">
        <v>5.0</v>
      </c>
      <c r="E29" s="14">
        <v>5.0</v>
      </c>
      <c r="F29" s="14">
        <v>5.0</v>
      </c>
      <c r="G29" s="14">
        <v>5.0</v>
      </c>
      <c r="H29" s="14">
        <v>5.0</v>
      </c>
      <c r="I29" s="14">
        <v>5.0</v>
      </c>
      <c r="J29" s="14">
        <v>5.0</v>
      </c>
      <c r="K29" s="14">
        <v>1.0</v>
      </c>
      <c r="L29" s="14">
        <v>5.0</v>
      </c>
      <c r="M29" s="14">
        <v>1.0</v>
      </c>
      <c r="N29" s="14">
        <v>1.0</v>
      </c>
      <c r="O29" s="14">
        <v>1.0</v>
      </c>
      <c r="P29" s="14">
        <v>1.0</v>
      </c>
      <c r="Q29" s="14">
        <v>1.0</v>
      </c>
      <c r="R29" s="14">
        <v>1.0</v>
      </c>
      <c r="S29" s="14">
        <v>1.0</v>
      </c>
    </row>
    <row r="30">
      <c r="B30" s="14">
        <v>5.0</v>
      </c>
      <c r="C30" s="14">
        <v>1.0</v>
      </c>
      <c r="D30" s="14">
        <v>1.0</v>
      </c>
      <c r="E30" s="14">
        <v>5.0</v>
      </c>
      <c r="F30" s="14">
        <v>5.0</v>
      </c>
      <c r="G30" s="14">
        <v>3.0</v>
      </c>
      <c r="H30" s="14">
        <v>5.0</v>
      </c>
      <c r="I30" s="14">
        <v>1.0</v>
      </c>
      <c r="J30" s="14">
        <v>1.0</v>
      </c>
      <c r="K30" s="14">
        <v>1.0</v>
      </c>
      <c r="L30" s="14">
        <v>5.0</v>
      </c>
      <c r="M30" s="14">
        <v>1.0</v>
      </c>
      <c r="N30" s="14">
        <v>1.0</v>
      </c>
      <c r="O30" s="14">
        <v>1.0</v>
      </c>
      <c r="P30" s="14">
        <v>1.0</v>
      </c>
      <c r="Q30" s="14">
        <v>1.0</v>
      </c>
      <c r="R30" s="14">
        <v>1.0</v>
      </c>
      <c r="S30" s="14">
        <v>1.0</v>
      </c>
    </row>
    <row r="31">
      <c r="B31" s="14">
        <v>5.0</v>
      </c>
      <c r="C31" s="14">
        <v>5.0</v>
      </c>
      <c r="D31" s="14">
        <v>5.0</v>
      </c>
      <c r="E31" s="14">
        <v>5.0</v>
      </c>
      <c r="F31" s="14">
        <v>5.0</v>
      </c>
      <c r="G31" s="14">
        <v>5.0</v>
      </c>
      <c r="H31" s="14">
        <v>1.0</v>
      </c>
      <c r="I31" s="14">
        <v>1.0</v>
      </c>
      <c r="J31" s="14">
        <v>5.0</v>
      </c>
      <c r="K31" s="14">
        <v>1.0</v>
      </c>
      <c r="L31" s="14">
        <v>5.0</v>
      </c>
      <c r="M31" s="14">
        <v>1.0</v>
      </c>
      <c r="N31" s="14">
        <v>1.0</v>
      </c>
      <c r="O31" s="14">
        <v>1.0</v>
      </c>
      <c r="P31" s="14">
        <v>1.0</v>
      </c>
      <c r="Q31" s="14">
        <v>1.0</v>
      </c>
      <c r="R31" s="14">
        <v>1.0</v>
      </c>
      <c r="S31" s="14">
        <v>1.0</v>
      </c>
    </row>
    <row r="32">
      <c r="B32" s="14">
        <v>5.0</v>
      </c>
      <c r="C32" s="14">
        <v>5.0</v>
      </c>
      <c r="D32" s="14">
        <v>1.0</v>
      </c>
      <c r="E32" s="14">
        <v>5.0</v>
      </c>
      <c r="F32" s="14">
        <v>3.0</v>
      </c>
      <c r="G32" s="14">
        <v>4.0</v>
      </c>
      <c r="H32" s="14">
        <v>4.0</v>
      </c>
      <c r="I32" s="14">
        <v>1.0</v>
      </c>
      <c r="J32" s="14">
        <v>1.0</v>
      </c>
      <c r="K32" s="14">
        <v>1.0</v>
      </c>
      <c r="L32" s="14">
        <v>5.0</v>
      </c>
      <c r="M32" s="14">
        <v>1.0</v>
      </c>
      <c r="N32" s="14">
        <v>4.0</v>
      </c>
      <c r="O32" s="14">
        <v>1.0</v>
      </c>
      <c r="P32" s="14">
        <v>1.0</v>
      </c>
      <c r="Q32" s="14">
        <v>1.0</v>
      </c>
      <c r="R32" s="14">
        <v>1.0</v>
      </c>
      <c r="S32" s="14">
        <v>1.0</v>
      </c>
    </row>
    <row r="33">
      <c r="B33" s="14">
        <v>5.0</v>
      </c>
      <c r="C33" s="14">
        <v>1.0</v>
      </c>
      <c r="D33" s="14">
        <v>1.0</v>
      </c>
      <c r="E33" s="14">
        <v>1.0</v>
      </c>
      <c r="F33" s="14">
        <v>1.0</v>
      </c>
      <c r="G33" s="14">
        <v>1.0</v>
      </c>
      <c r="H33" s="14">
        <v>3.0</v>
      </c>
      <c r="I33" s="14">
        <v>1.0</v>
      </c>
      <c r="J33" s="14">
        <v>1.0</v>
      </c>
      <c r="K33" s="14">
        <v>1.0</v>
      </c>
      <c r="L33" s="14">
        <v>1.0</v>
      </c>
      <c r="M33" s="14">
        <v>1.0</v>
      </c>
      <c r="N33" s="14">
        <v>2.0</v>
      </c>
      <c r="O33" s="14">
        <v>1.0</v>
      </c>
      <c r="P33" s="14">
        <v>1.0</v>
      </c>
      <c r="Q33" s="14">
        <v>1.0</v>
      </c>
      <c r="R33" s="14">
        <v>1.0</v>
      </c>
      <c r="S33" s="14">
        <v>1.0</v>
      </c>
    </row>
    <row r="34">
      <c r="B34" s="14">
        <v>5.0</v>
      </c>
      <c r="C34" s="14">
        <v>1.0</v>
      </c>
      <c r="D34" s="14">
        <v>1.0</v>
      </c>
      <c r="E34" s="14">
        <v>5.0</v>
      </c>
      <c r="F34" s="14">
        <v>5.0</v>
      </c>
      <c r="G34" s="14">
        <v>1.0</v>
      </c>
      <c r="H34" s="14">
        <v>1.0</v>
      </c>
      <c r="I34" s="14">
        <v>1.0</v>
      </c>
      <c r="J34" s="14">
        <v>1.0</v>
      </c>
      <c r="K34" s="14">
        <v>1.0</v>
      </c>
      <c r="L34" s="14">
        <v>4.0</v>
      </c>
      <c r="M34" s="14">
        <v>1.0</v>
      </c>
      <c r="N34" s="14">
        <v>5.0</v>
      </c>
      <c r="O34" s="14">
        <v>1.0</v>
      </c>
      <c r="P34" s="14">
        <v>1.0</v>
      </c>
      <c r="Q34" s="14">
        <v>1.0</v>
      </c>
      <c r="R34" s="14">
        <v>1.0</v>
      </c>
      <c r="S34" s="14">
        <v>1.0</v>
      </c>
    </row>
    <row r="36">
      <c r="B36" s="4">
        <f t="shared" ref="B36:S36" si="1">AVERAGE(B20:B34)</f>
        <v>4.933333333</v>
      </c>
      <c r="C36" s="4">
        <f t="shared" si="1"/>
        <v>3.266666667</v>
      </c>
      <c r="D36" s="4">
        <f t="shared" si="1"/>
        <v>2.6</v>
      </c>
      <c r="E36" s="4">
        <f t="shared" si="1"/>
        <v>4.666666667</v>
      </c>
      <c r="F36" s="4">
        <f t="shared" si="1"/>
        <v>3.533333333</v>
      </c>
      <c r="G36" s="4">
        <f t="shared" si="1"/>
        <v>3.133333333</v>
      </c>
      <c r="H36" s="4">
        <f t="shared" si="1"/>
        <v>2.666666667</v>
      </c>
      <c r="I36" s="4">
        <f t="shared" si="1"/>
        <v>2.333333333</v>
      </c>
      <c r="J36" s="4">
        <f t="shared" si="1"/>
        <v>2.266666667</v>
      </c>
      <c r="K36" s="4">
        <f t="shared" si="1"/>
        <v>1.133333333</v>
      </c>
      <c r="L36" s="4">
        <f t="shared" si="1"/>
        <v>3.6</v>
      </c>
      <c r="M36" s="4">
        <f t="shared" si="1"/>
        <v>1.533333333</v>
      </c>
      <c r="N36" s="4">
        <f t="shared" si="1"/>
        <v>2.666666667</v>
      </c>
      <c r="O36" s="4">
        <f t="shared" si="1"/>
        <v>1.066666667</v>
      </c>
      <c r="P36" s="4">
        <f t="shared" si="1"/>
        <v>1.8</v>
      </c>
      <c r="Q36" s="4">
        <f t="shared" si="1"/>
        <v>1.266666667</v>
      </c>
      <c r="R36" s="4">
        <f t="shared" si="1"/>
        <v>1.933333333</v>
      </c>
      <c r="S36" s="4">
        <f t="shared" si="1"/>
        <v>1.6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>
      <c r="A2" s="12">
        <v>45371.720090613424</v>
      </c>
      <c r="B2" s="13" t="s">
        <v>244</v>
      </c>
      <c r="C2" s="14">
        <v>79.0</v>
      </c>
      <c r="D2" s="13" t="s">
        <v>44</v>
      </c>
      <c r="E2" s="13" t="s">
        <v>36</v>
      </c>
      <c r="F2" s="13" t="s">
        <v>37</v>
      </c>
      <c r="G2" s="13" t="s">
        <v>36</v>
      </c>
      <c r="H2" s="13" t="s">
        <v>45</v>
      </c>
      <c r="I2" s="13" t="s">
        <v>46</v>
      </c>
      <c r="J2" s="13" t="s">
        <v>47</v>
      </c>
      <c r="K2" s="13" t="s">
        <v>48</v>
      </c>
      <c r="L2" s="13" t="s">
        <v>37</v>
      </c>
      <c r="M2" s="13" t="s">
        <v>49</v>
      </c>
      <c r="N2" s="13" t="s">
        <v>43</v>
      </c>
      <c r="O2" s="13" t="s">
        <v>43</v>
      </c>
      <c r="P2" s="13" t="s">
        <v>43</v>
      </c>
      <c r="Q2" s="13" t="s">
        <v>43</v>
      </c>
      <c r="R2" s="13" t="s">
        <v>43</v>
      </c>
      <c r="S2" s="14">
        <v>5.0</v>
      </c>
      <c r="T2" s="14">
        <v>5.0</v>
      </c>
      <c r="U2" s="14">
        <v>1.0</v>
      </c>
      <c r="V2" s="14">
        <v>4.0</v>
      </c>
      <c r="W2" s="14">
        <v>4.0</v>
      </c>
      <c r="X2" s="14">
        <v>1.0</v>
      </c>
      <c r="Y2" s="14">
        <v>2.0</v>
      </c>
      <c r="Z2" s="14">
        <v>1.0</v>
      </c>
      <c r="AA2" s="14">
        <v>5.0</v>
      </c>
      <c r="AB2" s="14">
        <v>1.0</v>
      </c>
      <c r="AC2" s="14">
        <v>4.0</v>
      </c>
      <c r="AD2" s="14">
        <v>1.0</v>
      </c>
      <c r="AE2" s="14">
        <v>5.0</v>
      </c>
      <c r="AF2" s="14">
        <v>1.0</v>
      </c>
      <c r="AG2" s="14">
        <v>1.0</v>
      </c>
      <c r="AH2" s="14">
        <v>1.0</v>
      </c>
      <c r="AI2" s="14">
        <v>1.0</v>
      </c>
      <c r="AJ2" s="14">
        <v>1.0</v>
      </c>
      <c r="AK2" s="13"/>
      <c r="AL2" s="13"/>
      <c r="AM2" s="13"/>
      <c r="AN2" s="13"/>
      <c r="AO2" s="13"/>
      <c r="AP2" s="13"/>
    </row>
    <row r="3">
      <c r="A3" s="12">
        <v>45371.74842005787</v>
      </c>
      <c r="B3" s="13" t="s">
        <v>245</v>
      </c>
      <c r="C3" s="14">
        <v>63.0</v>
      </c>
      <c r="D3" s="13" t="s">
        <v>44</v>
      </c>
      <c r="E3" s="13" t="s">
        <v>36</v>
      </c>
      <c r="F3" s="13" t="s">
        <v>37</v>
      </c>
      <c r="G3" s="13" t="s">
        <v>36</v>
      </c>
      <c r="H3" s="13" t="s">
        <v>63</v>
      </c>
      <c r="I3" s="13" t="s">
        <v>64</v>
      </c>
      <c r="J3" s="13" t="s">
        <v>65</v>
      </c>
      <c r="K3" s="13" t="s">
        <v>66</v>
      </c>
      <c r="L3" s="13" t="s">
        <v>37</v>
      </c>
      <c r="M3" s="13" t="s">
        <v>58</v>
      </c>
      <c r="N3" s="13" t="s">
        <v>53</v>
      </c>
      <c r="O3" s="13" t="s">
        <v>53</v>
      </c>
      <c r="P3" s="13" t="s">
        <v>43</v>
      </c>
      <c r="Q3" s="13" t="s">
        <v>53</v>
      </c>
      <c r="R3" s="13" t="s">
        <v>43</v>
      </c>
      <c r="S3" s="14">
        <v>5.0</v>
      </c>
      <c r="T3" s="14">
        <v>5.0</v>
      </c>
      <c r="U3" s="14">
        <v>5.0</v>
      </c>
      <c r="V3" s="14">
        <v>5.0</v>
      </c>
      <c r="W3" s="14">
        <v>5.0</v>
      </c>
      <c r="X3" s="14">
        <v>5.0</v>
      </c>
      <c r="Y3" s="14">
        <v>5.0</v>
      </c>
      <c r="Z3" s="14">
        <v>5.0</v>
      </c>
      <c r="AA3" s="14">
        <v>5.0</v>
      </c>
      <c r="AB3" s="14">
        <v>1.0</v>
      </c>
      <c r="AC3" s="14">
        <v>5.0</v>
      </c>
      <c r="AD3" s="14">
        <v>2.0</v>
      </c>
      <c r="AE3" s="14">
        <v>1.0</v>
      </c>
      <c r="AF3" s="14">
        <v>1.0</v>
      </c>
      <c r="AG3" s="14">
        <v>1.0</v>
      </c>
      <c r="AH3" s="14">
        <v>2.0</v>
      </c>
      <c r="AI3" s="14">
        <v>1.0</v>
      </c>
      <c r="AJ3" s="14">
        <v>5.0</v>
      </c>
      <c r="AK3" s="13"/>
      <c r="AL3" s="13"/>
      <c r="AM3" s="13"/>
      <c r="AN3" s="13"/>
      <c r="AO3" s="13"/>
      <c r="AP3" s="13"/>
    </row>
    <row r="4">
      <c r="A4" s="12">
        <v>45371.84067196759</v>
      </c>
      <c r="B4" s="13" t="s">
        <v>246</v>
      </c>
      <c r="C4" s="14">
        <v>50.0</v>
      </c>
      <c r="D4" s="13" t="s">
        <v>44</v>
      </c>
      <c r="E4" s="13" t="s">
        <v>36</v>
      </c>
      <c r="F4" s="13" t="s">
        <v>36</v>
      </c>
      <c r="G4" s="13" t="s">
        <v>36</v>
      </c>
      <c r="H4" s="13" t="s">
        <v>67</v>
      </c>
      <c r="I4" s="13" t="s">
        <v>68</v>
      </c>
      <c r="J4" s="13" t="s">
        <v>69</v>
      </c>
      <c r="K4" s="13" t="s">
        <v>70</v>
      </c>
      <c r="L4" s="13" t="s">
        <v>37</v>
      </c>
      <c r="M4" s="13" t="s">
        <v>71</v>
      </c>
      <c r="N4" s="13" t="s">
        <v>72</v>
      </c>
      <c r="O4" s="13" t="s">
        <v>53</v>
      </c>
      <c r="P4" s="13" t="s">
        <v>43</v>
      </c>
      <c r="Q4" s="13" t="s">
        <v>43</v>
      </c>
      <c r="R4" s="13" t="s">
        <v>43</v>
      </c>
      <c r="S4" s="14">
        <v>5.0</v>
      </c>
      <c r="T4" s="14">
        <v>5.0</v>
      </c>
      <c r="U4" s="14">
        <v>5.0</v>
      </c>
      <c r="V4" s="14">
        <v>5.0</v>
      </c>
      <c r="W4" s="14">
        <v>5.0</v>
      </c>
      <c r="X4" s="14">
        <v>5.0</v>
      </c>
      <c r="Y4" s="14">
        <v>5.0</v>
      </c>
      <c r="Z4" s="14">
        <v>4.0</v>
      </c>
      <c r="AA4" s="14">
        <v>5.0</v>
      </c>
      <c r="AB4" s="14">
        <v>4.0</v>
      </c>
      <c r="AC4" s="14">
        <v>5.0</v>
      </c>
      <c r="AD4" s="14">
        <v>5.0</v>
      </c>
      <c r="AE4" s="14">
        <v>5.0</v>
      </c>
      <c r="AF4" s="14">
        <v>1.0</v>
      </c>
      <c r="AG4" s="14">
        <v>5.0</v>
      </c>
      <c r="AH4" s="14">
        <v>2.0</v>
      </c>
      <c r="AI4" s="14">
        <v>5.0</v>
      </c>
      <c r="AJ4" s="14">
        <v>5.0</v>
      </c>
      <c r="AK4" s="13"/>
      <c r="AL4" s="13"/>
      <c r="AM4" s="13"/>
      <c r="AN4" s="13"/>
      <c r="AO4" s="13"/>
      <c r="AP4" s="13"/>
    </row>
    <row r="5">
      <c r="A5" s="12">
        <v>45371.9199928125</v>
      </c>
      <c r="B5" s="13" t="s">
        <v>247</v>
      </c>
      <c r="C5" s="14">
        <v>55.0</v>
      </c>
      <c r="D5" s="13" t="s">
        <v>44</v>
      </c>
      <c r="E5" s="13" t="s">
        <v>36</v>
      </c>
      <c r="F5" s="13" t="s">
        <v>36</v>
      </c>
      <c r="G5" s="13" t="s">
        <v>36</v>
      </c>
      <c r="H5" s="13" t="s">
        <v>78</v>
      </c>
      <c r="I5" s="13" t="s">
        <v>79</v>
      </c>
      <c r="J5" s="13" t="s">
        <v>80</v>
      </c>
      <c r="K5" s="13" t="s">
        <v>81</v>
      </c>
      <c r="L5" s="13" t="s">
        <v>37</v>
      </c>
      <c r="M5" s="13" t="s">
        <v>82</v>
      </c>
      <c r="N5" s="13" t="s">
        <v>43</v>
      </c>
      <c r="O5" s="13" t="s">
        <v>43</v>
      </c>
      <c r="P5" s="13" t="s">
        <v>53</v>
      </c>
      <c r="Q5" s="13" t="s">
        <v>43</v>
      </c>
      <c r="R5" s="13" t="s">
        <v>43</v>
      </c>
      <c r="S5" s="14">
        <v>5.0</v>
      </c>
      <c r="T5" s="14">
        <v>5.0</v>
      </c>
      <c r="U5" s="14">
        <v>4.0</v>
      </c>
      <c r="V5" s="14">
        <v>5.0</v>
      </c>
      <c r="W5" s="14">
        <v>5.0</v>
      </c>
      <c r="X5" s="14">
        <v>5.0</v>
      </c>
      <c r="Y5" s="14">
        <v>4.0</v>
      </c>
      <c r="Z5" s="14">
        <v>5.0</v>
      </c>
      <c r="AA5" s="14">
        <v>5.0</v>
      </c>
      <c r="AB5" s="14">
        <v>1.0</v>
      </c>
      <c r="AC5" s="14">
        <v>5.0</v>
      </c>
      <c r="AD5" s="14">
        <v>1.0</v>
      </c>
      <c r="AE5" s="14">
        <v>5.0</v>
      </c>
      <c r="AF5" s="14">
        <v>1.0</v>
      </c>
      <c r="AG5" s="14">
        <v>5.0</v>
      </c>
      <c r="AH5" s="14">
        <v>1.0</v>
      </c>
      <c r="AI5" s="14">
        <v>1.0</v>
      </c>
      <c r="AJ5" s="14">
        <v>5.0</v>
      </c>
      <c r="AK5" s="13"/>
      <c r="AL5" s="13"/>
      <c r="AM5" s="13"/>
      <c r="AN5" s="13"/>
      <c r="AO5" s="13"/>
      <c r="AP5" s="13"/>
    </row>
    <row r="6">
      <c r="A6" s="12">
        <v>45372.37436903935</v>
      </c>
      <c r="B6" s="13" t="s">
        <v>248</v>
      </c>
      <c r="C6" s="14">
        <v>52.0</v>
      </c>
      <c r="D6" s="13" t="s">
        <v>44</v>
      </c>
      <c r="E6" s="13" t="s">
        <v>36</v>
      </c>
      <c r="F6" s="13" t="s">
        <v>37</v>
      </c>
      <c r="G6" s="13" t="s">
        <v>37</v>
      </c>
      <c r="H6" s="13" t="s">
        <v>73</v>
      </c>
      <c r="I6" s="13" t="s">
        <v>79</v>
      </c>
      <c r="J6" s="13" t="s">
        <v>101</v>
      </c>
      <c r="K6" s="13" t="s">
        <v>102</v>
      </c>
      <c r="L6" s="13" t="s">
        <v>37</v>
      </c>
      <c r="M6" s="13" t="s">
        <v>82</v>
      </c>
      <c r="N6" s="13" t="s">
        <v>43</v>
      </c>
      <c r="O6" s="13" t="s">
        <v>43</v>
      </c>
      <c r="P6" s="13" t="s">
        <v>53</v>
      </c>
      <c r="Q6" s="13" t="s">
        <v>43</v>
      </c>
      <c r="R6" s="13" t="s">
        <v>43</v>
      </c>
      <c r="S6" s="14">
        <v>5.0</v>
      </c>
      <c r="T6" s="14">
        <v>5.0</v>
      </c>
      <c r="U6" s="14">
        <v>5.0</v>
      </c>
      <c r="V6" s="14">
        <v>5.0</v>
      </c>
      <c r="W6" s="14">
        <v>5.0</v>
      </c>
      <c r="X6" s="14">
        <v>5.0</v>
      </c>
      <c r="Y6" s="14">
        <v>5.0</v>
      </c>
      <c r="Z6" s="14">
        <v>5.0</v>
      </c>
      <c r="AA6" s="14">
        <v>1.0</v>
      </c>
      <c r="AB6" s="14">
        <v>1.0</v>
      </c>
      <c r="AC6" s="14">
        <v>5.0</v>
      </c>
      <c r="AD6" s="14">
        <v>1.0</v>
      </c>
      <c r="AE6" s="14">
        <v>5.0</v>
      </c>
      <c r="AF6" s="14">
        <v>1.0</v>
      </c>
      <c r="AG6" s="14">
        <v>1.0</v>
      </c>
      <c r="AH6" s="14">
        <v>1.0</v>
      </c>
      <c r="AI6" s="14">
        <v>1.0</v>
      </c>
      <c r="AJ6" s="14">
        <v>1.0</v>
      </c>
      <c r="AK6" s="13"/>
      <c r="AL6" s="13"/>
      <c r="AM6" s="13"/>
      <c r="AN6" s="13"/>
      <c r="AO6" s="13"/>
      <c r="AP6" s="13"/>
    </row>
    <row r="7">
      <c r="A7" s="12">
        <v>45372.38089936343</v>
      </c>
      <c r="B7" s="13" t="s">
        <v>249</v>
      </c>
      <c r="C7" s="14">
        <v>73.0</v>
      </c>
      <c r="D7" s="13" t="s">
        <v>44</v>
      </c>
      <c r="E7" s="13" t="s">
        <v>36</v>
      </c>
      <c r="F7" s="13" t="s">
        <v>37</v>
      </c>
      <c r="G7" s="13" t="s">
        <v>36</v>
      </c>
      <c r="H7" s="13" t="s">
        <v>108</v>
      </c>
      <c r="I7" s="13" t="s">
        <v>109</v>
      </c>
      <c r="J7" s="13" t="s">
        <v>110</v>
      </c>
      <c r="K7" s="13" t="s">
        <v>111</v>
      </c>
      <c r="L7" s="13" t="s">
        <v>37</v>
      </c>
      <c r="M7" s="13" t="s">
        <v>71</v>
      </c>
      <c r="N7" s="13" t="s">
        <v>43</v>
      </c>
      <c r="O7" s="13" t="s">
        <v>112</v>
      </c>
      <c r="P7" s="13" t="s">
        <v>53</v>
      </c>
      <c r="Q7" s="13" t="s">
        <v>43</v>
      </c>
      <c r="R7" s="13" t="s">
        <v>43</v>
      </c>
      <c r="S7" s="14">
        <v>5.0</v>
      </c>
      <c r="T7" s="14">
        <v>5.0</v>
      </c>
      <c r="U7" s="14">
        <v>5.0</v>
      </c>
      <c r="V7" s="14">
        <v>5.0</v>
      </c>
      <c r="W7" s="14">
        <v>4.0</v>
      </c>
      <c r="X7" s="14">
        <v>5.0</v>
      </c>
      <c r="Y7" s="14">
        <v>5.0</v>
      </c>
      <c r="Z7" s="14">
        <v>5.0</v>
      </c>
      <c r="AA7" s="14">
        <v>3.0</v>
      </c>
      <c r="AB7" s="14">
        <v>5.0</v>
      </c>
      <c r="AC7" s="14">
        <v>5.0</v>
      </c>
      <c r="AD7" s="14">
        <v>5.0</v>
      </c>
      <c r="AE7" s="14">
        <v>1.0</v>
      </c>
      <c r="AF7" s="14">
        <v>5.0</v>
      </c>
      <c r="AG7" s="14">
        <v>5.0</v>
      </c>
      <c r="AH7" s="14">
        <v>4.0</v>
      </c>
      <c r="AI7" s="14">
        <v>5.0</v>
      </c>
      <c r="AJ7" s="14">
        <v>4.0</v>
      </c>
      <c r="AK7" s="13"/>
      <c r="AL7" s="13"/>
      <c r="AM7" s="13"/>
      <c r="AN7" s="13"/>
      <c r="AO7" s="13"/>
      <c r="AP7" s="13"/>
    </row>
    <row r="8">
      <c r="A8" s="12">
        <v>45372.382951203705</v>
      </c>
      <c r="B8" s="13" t="s">
        <v>250</v>
      </c>
      <c r="C8" s="14">
        <v>52.0</v>
      </c>
      <c r="D8" s="13" t="s">
        <v>44</v>
      </c>
      <c r="E8" s="13" t="s">
        <v>36</v>
      </c>
      <c r="F8" s="13" t="s">
        <v>37</v>
      </c>
      <c r="G8" s="13" t="s">
        <v>36</v>
      </c>
      <c r="H8" s="13" t="s">
        <v>113</v>
      </c>
      <c r="I8" s="13" t="s">
        <v>114</v>
      </c>
      <c r="J8" s="13" t="s">
        <v>115</v>
      </c>
      <c r="K8" s="13" t="s">
        <v>111</v>
      </c>
      <c r="L8" s="13" t="s">
        <v>37</v>
      </c>
      <c r="M8" s="13" t="s">
        <v>58</v>
      </c>
      <c r="N8" s="13" t="s">
        <v>92</v>
      </c>
      <c r="O8" s="13" t="s">
        <v>58</v>
      </c>
      <c r="P8" s="13" t="s">
        <v>53</v>
      </c>
      <c r="Q8" s="13" t="s">
        <v>53</v>
      </c>
      <c r="R8" s="13" t="s">
        <v>53</v>
      </c>
      <c r="S8" s="14">
        <v>5.0</v>
      </c>
      <c r="T8" s="14">
        <v>1.0</v>
      </c>
      <c r="U8" s="14">
        <v>5.0</v>
      </c>
      <c r="V8" s="14">
        <v>5.0</v>
      </c>
      <c r="W8" s="14">
        <v>5.0</v>
      </c>
      <c r="X8" s="14">
        <v>5.0</v>
      </c>
      <c r="Y8" s="14">
        <v>5.0</v>
      </c>
      <c r="Z8" s="14">
        <v>5.0</v>
      </c>
      <c r="AA8" s="14">
        <v>5.0</v>
      </c>
      <c r="AB8" s="14">
        <v>1.0</v>
      </c>
      <c r="AC8" s="14">
        <v>5.0</v>
      </c>
      <c r="AD8" s="14">
        <v>5.0</v>
      </c>
      <c r="AE8" s="14">
        <v>5.0</v>
      </c>
      <c r="AF8" s="14">
        <v>5.0</v>
      </c>
      <c r="AG8" s="14">
        <v>5.0</v>
      </c>
      <c r="AH8" s="14">
        <v>5.0</v>
      </c>
      <c r="AI8" s="14">
        <v>5.0</v>
      </c>
      <c r="AJ8" s="14">
        <v>5.0</v>
      </c>
      <c r="AK8" s="13"/>
      <c r="AL8" s="13"/>
      <c r="AM8" s="13"/>
      <c r="AN8" s="13"/>
      <c r="AO8" s="13"/>
      <c r="AP8" s="13"/>
    </row>
    <row r="9">
      <c r="A9" s="12">
        <v>45372.87793431713</v>
      </c>
      <c r="B9" s="13" t="s">
        <v>251</v>
      </c>
      <c r="C9" s="14">
        <v>63.0</v>
      </c>
      <c r="D9" s="13" t="s">
        <v>44</v>
      </c>
      <c r="E9" s="13" t="s">
        <v>37</v>
      </c>
      <c r="F9" s="13" t="s">
        <v>37</v>
      </c>
      <c r="G9" s="13" t="s">
        <v>37</v>
      </c>
      <c r="H9" s="13" t="s">
        <v>116</v>
      </c>
      <c r="I9" s="13" t="s">
        <v>128</v>
      </c>
      <c r="J9" s="13" t="s">
        <v>129</v>
      </c>
      <c r="K9" s="13" t="s">
        <v>130</v>
      </c>
      <c r="L9" s="13" t="s">
        <v>37</v>
      </c>
      <c r="M9" s="13" t="s">
        <v>58</v>
      </c>
      <c r="N9" s="13" t="s">
        <v>43</v>
      </c>
      <c r="O9" s="13" t="s">
        <v>43</v>
      </c>
      <c r="P9" s="13" t="s">
        <v>53</v>
      </c>
      <c r="Q9" s="13" t="s">
        <v>43</v>
      </c>
      <c r="R9" s="13" t="s">
        <v>43</v>
      </c>
      <c r="S9" s="14">
        <v>5.0</v>
      </c>
      <c r="T9" s="14">
        <v>5.0</v>
      </c>
      <c r="U9" s="14">
        <v>5.0</v>
      </c>
      <c r="V9" s="14">
        <v>5.0</v>
      </c>
      <c r="W9" s="14">
        <v>5.0</v>
      </c>
      <c r="X9" s="14">
        <v>5.0</v>
      </c>
      <c r="Y9" s="14">
        <v>5.0</v>
      </c>
      <c r="Z9" s="14">
        <v>5.0</v>
      </c>
      <c r="AA9" s="14">
        <v>3.0</v>
      </c>
      <c r="AB9" s="14">
        <v>1.0</v>
      </c>
      <c r="AC9" s="14">
        <v>5.0</v>
      </c>
      <c r="AD9" s="14">
        <v>5.0</v>
      </c>
      <c r="AE9" s="14">
        <v>5.0</v>
      </c>
      <c r="AF9" s="14">
        <v>5.0</v>
      </c>
      <c r="AG9" s="14">
        <v>5.0</v>
      </c>
      <c r="AH9" s="14">
        <v>1.0</v>
      </c>
      <c r="AI9" s="14">
        <v>5.0</v>
      </c>
      <c r="AJ9" s="14">
        <v>1.0</v>
      </c>
      <c r="AK9" s="13"/>
      <c r="AL9" s="13"/>
      <c r="AM9" s="13"/>
      <c r="AN9" s="13"/>
      <c r="AO9" s="13"/>
      <c r="AP9" s="13"/>
    </row>
    <row r="10">
      <c r="A10" s="12">
        <v>45372.89818240741</v>
      </c>
      <c r="B10" s="13" t="s">
        <v>252</v>
      </c>
      <c r="C10" s="14">
        <v>67.0</v>
      </c>
      <c r="D10" s="13" t="s">
        <v>44</v>
      </c>
      <c r="E10" s="13" t="s">
        <v>36</v>
      </c>
      <c r="F10" s="13" t="s">
        <v>37</v>
      </c>
      <c r="G10" s="13" t="s">
        <v>36</v>
      </c>
      <c r="H10" s="13" t="s">
        <v>140</v>
      </c>
      <c r="I10" s="13" t="s">
        <v>141</v>
      </c>
      <c r="J10" s="13" t="s">
        <v>142</v>
      </c>
      <c r="K10" s="13" t="s">
        <v>143</v>
      </c>
      <c r="L10" s="13" t="s">
        <v>37</v>
      </c>
      <c r="M10" s="13" t="s">
        <v>72</v>
      </c>
      <c r="N10" s="13" t="s">
        <v>43</v>
      </c>
      <c r="O10" s="13" t="s">
        <v>43</v>
      </c>
      <c r="P10" s="13" t="s">
        <v>43</v>
      </c>
      <c r="Q10" s="13" t="s">
        <v>43</v>
      </c>
      <c r="R10" s="13" t="s">
        <v>43</v>
      </c>
      <c r="S10" s="14">
        <v>5.0</v>
      </c>
      <c r="T10" s="14">
        <v>5.0</v>
      </c>
      <c r="U10" s="14">
        <v>5.0</v>
      </c>
      <c r="V10" s="14">
        <v>5.0</v>
      </c>
      <c r="W10" s="14">
        <v>5.0</v>
      </c>
      <c r="X10" s="14">
        <v>5.0</v>
      </c>
      <c r="Y10" s="14">
        <v>1.0</v>
      </c>
      <c r="Z10" s="14">
        <v>5.0</v>
      </c>
      <c r="AA10" s="14">
        <v>5.0</v>
      </c>
      <c r="AB10" s="14">
        <v>1.0</v>
      </c>
      <c r="AC10" s="14">
        <v>3.0</v>
      </c>
      <c r="AD10" s="14">
        <v>1.0</v>
      </c>
      <c r="AE10" s="14">
        <v>1.0</v>
      </c>
      <c r="AF10" s="14">
        <v>1.0</v>
      </c>
      <c r="AG10" s="14">
        <v>4.0</v>
      </c>
      <c r="AH10" s="14">
        <v>1.0</v>
      </c>
      <c r="AI10" s="14">
        <v>4.0</v>
      </c>
      <c r="AJ10" s="14">
        <v>3.0</v>
      </c>
      <c r="AK10" s="13"/>
      <c r="AL10" s="13"/>
      <c r="AM10" s="13"/>
      <c r="AN10" s="13"/>
      <c r="AO10" s="13"/>
      <c r="AP10" s="13"/>
    </row>
    <row r="11">
      <c r="A11" s="12">
        <v>45372.9004774537</v>
      </c>
      <c r="B11" s="13" t="s">
        <v>253</v>
      </c>
      <c r="C11" s="14">
        <v>62.0</v>
      </c>
      <c r="D11" s="13" t="s">
        <v>44</v>
      </c>
      <c r="E11" s="13" t="s">
        <v>36</v>
      </c>
      <c r="F11" s="13" t="s">
        <v>36</v>
      </c>
      <c r="G11" s="13" t="s">
        <v>37</v>
      </c>
      <c r="H11" s="13" t="s">
        <v>125</v>
      </c>
      <c r="I11" s="13" t="s">
        <v>144</v>
      </c>
      <c r="J11" s="13" t="s">
        <v>145</v>
      </c>
      <c r="K11" s="13" t="s">
        <v>146</v>
      </c>
      <c r="L11" s="13" t="s">
        <v>37</v>
      </c>
      <c r="M11" s="13" t="s">
        <v>58</v>
      </c>
      <c r="N11" s="13" t="s">
        <v>107</v>
      </c>
      <c r="O11" s="13" t="s">
        <v>58</v>
      </c>
      <c r="P11" s="13" t="s">
        <v>53</v>
      </c>
      <c r="Q11" s="13" t="s">
        <v>43</v>
      </c>
      <c r="R11" s="13" t="s">
        <v>43</v>
      </c>
      <c r="S11" s="14">
        <v>5.0</v>
      </c>
      <c r="T11" s="14">
        <v>5.0</v>
      </c>
      <c r="U11" s="14">
        <v>5.0</v>
      </c>
      <c r="V11" s="14">
        <v>5.0</v>
      </c>
      <c r="W11" s="14">
        <v>5.0</v>
      </c>
      <c r="X11" s="14">
        <v>5.0</v>
      </c>
      <c r="Y11" s="14">
        <v>5.0</v>
      </c>
      <c r="Z11" s="14">
        <v>5.0</v>
      </c>
      <c r="AA11" s="14">
        <v>5.0</v>
      </c>
      <c r="AB11" s="14">
        <v>5.0</v>
      </c>
      <c r="AC11" s="14">
        <v>5.0</v>
      </c>
      <c r="AD11" s="14">
        <v>5.0</v>
      </c>
      <c r="AE11" s="14">
        <v>5.0</v>
      </c>
      <c r="AF11" s="14">
        <v>5.0</v>
      </c>
      <c r="AG11" s="14">
        <v>5.0</v>
      </c>
      <c r="AH11" s="14">
        <v>1.0</v>
      </c>
      <c r="AI11" s="14">
        <v>5.0</v>
      </c>
      <c r="AJ11" s="14">
        <v>5.0</v>
      </c>
      <c r="AK11" s="13"/>
      <c r="AL11" s="13"/>
      <c r="AM11" s="13"/>
      <c r="AN11" s="13"/>
      <c r="AO11" s="13"/>
      <c r="AP11" s="13"/>
    </row>
    <row r="12">
      <c r="A12" s="12">
        <v>45372.903490173616</v>
      </c>
      <c r="B12" s="13" t="s">
        <v>254</v>
      </c>
      <c r="C12" s="14">
        <v>59.0</v>
      </c>
      <c r="D12" s="13" t="s">
        <v>44</v>
      </c>
      <c r="E12" s="13" t="s">
        <v>36</v>
      </c>
      <c r="F12" s="13" t="s">
        <v>37</v>
      </c>
      <c r="G12" s="13" t="s">
        <v>37</v>
      </c>
      <c r="H12" s="13" t="s">
        <v>116</v>
      </c>
      <c r="I12" s="13" t="s">
        <v>147</v>
      </c>
      <c r="J12" s="13" t="s">
        <v>148</v>
      </c>
      <c r="K12" s="13" t="s">
        <v>149</v>
      </c>
      <c r="L12" s="13" t="s">
        <v>37</v>
      </c>
      <c r="M12" s="13" t="s">
        <v>58</v>
      </c>
      <c r="N12" s="13" t="s">
        <v>58</v>
      </c>
      <c r="O12" s="13" t="s">
        <v>58</v>
      </c>
      <c r="P12" s="13" t="s">
        <v>53</v>
      </c>
      <c r="Q12" s="13" t="s">
        <v>53</v>
      </c>
      <c r="R12" s="13" t="s">
        <v>53</v>
      </c>
      <c r="S12" s="14">
        <v>5.0</v>
      </c>
      <c r="T12" s="14">
        <v>5.0</v>
      </c>
      <c r="U12" s="14">
        <v>5.0</v>
      </c>
      <c r="V12" s="14">
        <v>5.0</v>
      </c>
      <c r="W12" s="14">
        <v>5.0</v>
      </c>
      <c r="X12" s="14">
        <v>5.0</v>
      </c>
      <c r="Y12" s="14">
        <v>5.0</v>
      </c>
      <c r="Z12" s="14">
        <v>1.0</v>
      </c>
      <c r="AA12" s="14">
        <v>5.0</v>
      </c>
      <c r="AB12" s="14">
        <v>1.0</v>
      </c>
      <c r="AC12" s="14">
        <v>5.0</v>
      </c>
      <c r="AD12" s="14">
        <v>1.0</v>
      </c>
      <c r="AE12" s="14">
        <v>1.0</v>
      </c>
      <c r="AF12" s="14">
        <v>1.0</v>
      </c>
      <c r="AG12" s="14">
        <v>1.0</v>
      </c>
      <c r="AH12" s="14">
        <v>1.0</v>
      </c>
      <c r="AI12" s="14">
        <v>1.0</v>
      </c>
      <c r="AJ12" s="14">
        <v>1.0</v>
      </c>
      <c r="AK12" s="13"/>
      <c r="AL12" s="13"/>
      <c r="AM12" s="13"/>
      <c r="AN12" s="13"/>
      <c r="AO12" s="13"/>
      <c r="AP12" s="13"/>
    </row>
    <row r="13">
      <c r="A13" s="12">
        <v>45373.79510471065</v>
      </c>
      <c r="B13" s="13" t="s">
        <v>255</v>
      </c>
      <c r="C13" s="14">
        <v>60.0</v>
      </c>
      <c r="D13" s="13" t="s">
        <v>44</v>
      </c>
      <c r="E13" s="13" t="s">
        <v>37</v>
      </c>
      <c r="F13" s="13" t="s">
        <v>37</v>
      </c>
      <c r="G13" s="13" t="s">
        <v>37</v>
      </c>
      <c r="H13" s="13" t="s">
        <v>150</v>
      </c>
      <c r="I13" s="13" t="s">
        <v>151</v>
      </c>
      <c r="J13" s="13" t="s">
        <v>152</v>
      </c>
      <c r="K13" s="13" t="s">
        <v>153</v>
      </c>
      <c r="L13" s="13" t="s">
        <v>37</v>
      </c>
      <c r="M13" s="13" t="s">
        <v>43</v>
      </c>
      <c r="N13" s="13" t="s">
        <v>43</v>
      </c>
      <c r="O13" s="13" t="s">
        <v>43</v>
      </c>
      <c r="P13" s="13" t="s">
        <v>43</v>
      </c>
      <c r="Q13" s="13" t="s">
        <v>43</v>
      </c>
      <c r="R13" s="13" t="s">
        <v>43</v>
      </c>
      <c r="S13" s="14">
        <v>5.0</v>
      </c>
      <c r="T13" s="14">
        <v>5.0</v>
      </c>
      <c r="U13" s="14">
        <v>1.0</v>
      </c>
      <c r="V13" s="14">
        <v>5.0</v>
      </c>
      <c r="W13" s="14">
        <v>1.0</v>
      </c>
      <c r="X13" s="14">
        <v>1.0</v>
      </c>
      <c r="Y13" s="14">
        <v>1.0</v>
      </c>
      <c r="Z13" s="14">
        <v>1.0</v>
      </c>
      <c r="AA13" s="14">
        <v>1.0</v>
      </c>
      <c r="AB13" s="14">
        <v>1.0</v>
      </c>
      <c r="AC13" s="14">
        <v>1.0</v>
      </c>
      <c r="AD13" s="14">
        <v>1.0</v>
      </c>
      <c r="AE13" s="14">
        <v>1.0</v>
      </c>
      <c r="AF13" s="14">
        <v>1.0</v>
      </c>
      <c r="AG13" s="14">
        <v>1.0</v>
      </c>
      <c r="AH13" s="14">
        <v>1.0</v>
      </c>
      <c r="AI13" s="14">
        <v>1.0</v>
      </c>
      <c r="AJ13" s="14">
        <v>1.0</v>
      </c>
      <c r="AK13" s="13"/>
      <c r="AL13" s="13"/>
      <c r="AM13" s="13"/>
      <c r="AN13" s="13"/>
      <c r="AO13" s="13"/>
      <c r="AP13" s="13"/>
    </row>
    <row r="14">
      <c r="A14" s="12">
        <v>45373.79829502315</v>
      </c>
      <c r="B14" s="13" t="s">
        <v>256</v>
      </c>
      <c r="C14" s="14">
        <v>53.0</v>
      </c>
      <c r="D14" s="13" t="s">
        <v>44</v>
      </c>
      <c r="E14" s="13" t="s">
        <v>36</v>
      </c>
      <c r="F14" s="13" t="s">
        <v>37</v>
      </c>
      <c r="G14" s="13" t="s">
        <v>37</v>
      </c>
      <c r="H14" s="13" t="s">
        <v>154</v>
      </c>
      <c r="I14" s="13" t="s">
        <v>155</v>
      </c>
      <c r="J14" s="13" t="s">
        <v>156</v>
      </c>
      <c r="K14" s="13" t="s">
        <v>157</v>
      </c>
      <c r="L14" s="13" t="s">
        <v>37</v>
      </c>
      <c r="M14" s="13" t="s">
        <v>58</v>
      </c>
      <c r="N14" s="13" t="s">
        <v>72</v>
      </c>
      <c r="O14" s="13" t="s">
        <v>72</v>
      </c>
      <c r="P14" s="13" t="s">
        <v>92</v>
      </c>
      <c r="Q14" s="13" t="s">
        <v>92</v>
      </c>
      <c r="R14" s="13" t="s">
        <v>92</v>
      </c>
      <c r="S14" s="14">
        <v>5.0</v>
      </c>
      <c r="T14" s="14">
        <v>5.0</v>
      </c>
      <c r="U14" s="14">
        <v>5.0</v>
      </c>
      <c r="V14" s="14">
        <v>5.0</v>
      </c>
      <c r="W14" s="14">
        <v>5.0</v>
      </c>
      <c r="X14" s="14">
        <v>5.0</v>
      </c>
      <c r="Y14" s="14">
        <v>4.0</v>
      </c>
      <c r="Z14" s="14">
        <v>5.0</v>
      </c>
      <c r="AA14" s="14">
        <v>1.0</v>
      </c>
      <c r="AB14" s="14">
        <v>1.0</v>
      </c>
      <c r="AC14" s="14">
        <v>5.0</v>
      </c>
      <c r="AD14" s="14">
        <v>5.0</v>
      </c>
      <c r="AE14" s="14">
        <v>1.0</v>
      </c>
      <c r="AF14" s="14">
        <v>4.0</v>
      </c>
      <c r="AG14" s="14">
        <v>1.0</v>
      </c>
      <c r="AH14" s="14">
        <v>1.0</v>
      </c>
      <c r="AI14" s="14">
        <v>5.0</v>
      </c>
      <c r="AJ14" s="14">
        <v>5.0</v>
      </c>
      <c r="AK14" s="13"/>
      <c r="AL14" s="13"/>
      <c r="AM14" s="13"/>
      <c r="AN14" s="13"/>
      <c r="AO14" s="13"/>
      <c r="AP14" s="13"/>
    </row>
    <row r="15">
      <c r="A15" s="12">
        <v>45373.80277052084</v>
      </c>
      <c r="B15" s="13" t="s">
        <v>257</v>
      </c>
      <c r="C15" s="14">
        <v>71.0</v>
      </c>
      <c r="D15" s="13" t="s">
        <v>44</v>
      </c>
      <c r="E15" s="13" t="s">
        <v>37</v>
      </c>
      <c r="F15" s="13" t="s">
        <v>37</v>
      </c>
      <c r="G15" s="13" t="s">
        <v>36</v>
      </c>
      <c r="H15" s="13" t="s">
        <v>116</v>
      </c>
      <c r="I15" s="13" t="s">
        <v>161</v>
      </c>
      <c r="J15" s="13" t="s">
        <v>162</v>
      </c>
      <c r="K15" s="13" t="s">
        <v>163</v>
      </c>
      <c r="L15" s="13" t="s">
        <v>37</v>
      </c>
      <c r="M15" s="13" t="s">
        <v>71</v>
      </c>
      <c r="N15" s="13" t="s">
        <v>92</v>
      </c>
      <c r="O15" s="13" t="s">
        <v>43</v>
      </c>
      <c r="P15" s="13" t="s">
        <v>43</v>
      </c>
      <c r="Q15" s="13" t="s">
        <v>53</v>
      </c>
      <c r="R15" s="13" t="s">
        <v>43</v>
      </c>
      <c r="S15" s="14">
        <v>5.0</v>
      </c>
      <c r="T15" s="14">
        <v>5.0</v>
      </c>
      <c r="U15" s="14">
        <v>5.0</v>
      </c>
      <c r="V15" s="14">
        <v>5.0</v>
      </c>
      <c r="W15" s="14">
        <v>5.0</v>
      </c>
      <c r="X15" s="14">
        <v>5.0</v>
      </c>
      <c r="Y15" s="14">
        <v>3.0</v>
      </c>
      <c r="Z15" s="14">
        <v>1.0</v>
      </c>
      <c r="AA15" s="14">
        <v>5.0</v>
      </c>
      <c r="AB15" s="14">
        <v>3.0</v>
      </c>
      <c r="AC15" s="14">
        <v>5.0</v>
      </c>
      <c r="AD15" s="14">
        <v>1.0</v>
      </c>
      <c r="AE15" s="14">
        <v>5.0</v>
      </c>
      <c r="AF15" s="14">
        <v>5.0</v>
      </c>
      <c r="AG15" s="14">
        <v>1.0</v>
      </c>
      <c r="AH15" s="14">
        <v>1.0</v>
      </c>
      <c r="AI15" s="14">
        <v>1.0</v>
      </c>
      <c r="AJ15" s="14">
        <v>3.0</v>
      </c>
      <c r="AK15" s="13"/>
      <c r="AL15" s="13"/>
      <c r="AM15" s="13"/>
      <c r="AN15" s="13"/>
      <c r="AO15" s="13"/>
      <c r="AP15" s="13"/>
    </row>
    <row r="19">
      <c r="A19" s="5"/>
      <c r="B19" s="5" t="s">
        <v>172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  <c r="L19" s="5" t="s">
        <v>182</v>
      </c>
      <c r="M19" s="5" t="s">
        <v>183</v>
      </c>
      <c r="N19" s="5" t="s">
        <v>184</v>
      </c>
      <c r="O19" s="5" t="s">
        <v>185</v>
      </c>
      <c r="P19" s="5" t="s">
        <v>186</v>
      </c>
      <c r="Q19" s="5" t="s">
        <v>187</v>
      </c>
      <c r="R19" s="5" t="s">
        <v>188</v>
      </c>
      <c r="S19" s="5" t="s">
        <v>189</v>
      </c>
      <c r="T19" s="3" t="s">
        <v>190</v>
      </c>
    </row>
    <row r="20">
      <c r="B20" s="14">
        <v>5.0</v>
      </c>
      <c r="C20" s="14">
        <v>5.0</v>
      </c>
      <c r="D20" s="14">
        <v>1.0</v>
      </c>
      <c r="E20" s="14">
        <v>4.0</v>
      </c>
      <c r="F20" s="14">
        <v>4.0</v>
      </c>
      <c r="G20" s="14">
        <v>1.0</v>
      </c>
      <c r="H20" s="14">
        <v>2.0</v>
      </c>
      <c r="I20" s="14">
        <v>1.0</v>
      </c>
      <c r="J20" s="14">
        <v>5.0</v>
      </c>
      <c r="K20" s="14">
        <v>1.0</v>
      </c>
      <c r="L20" s="14">
        <v>4.0</v>
      </c>
      <c r="M20" s="14">
        <v>1.0</v>
      </c>
      <c r="N20" s="14">
        <v>5.0</v>
      </c>
      <c r="O20" s="14">
        <v>1.0</v>
      </c>
      <c r="P20" s="14">
        <v>1.0</v>
      </c>
      <c r="Q20" s="14">
        <v>1.0</v>
      </c>
      <c r="R20" s="14">
        <v>1.0</v>
      </c>
      <c r="S20" s="14">
        <v>1.0</v>
      </c>
    </row>
    <row r="21">
      <c r="B21" s="14">
        <v>5.0</v>
      </c>
      <c r="C21" s="14">
        <v>5.0</v>
      </c>
      <c r="D21" s="14">
        <v>5.0</v>
      </c>
      <c r="E21" s="14">
        <v>5.0</v>
      </c>
      <c r="F21" s="14">
        <v>5.0</v>
      </c>
      <c r="G21" s="14">
        <v>5.0</v>
      </c>
      <c r="H21" s="14">
        <v>5.0</v>
      </c>
      <c r="I21" s="14">
        <v>5.0</v>
      </c>
      <c r="J21" s="14">
        <v>5.0</v>
      </c>
      <c r="K21" s="14">
        <v>1.0</v>
      </c>
      <c r="L21" s="14">
        <v>5.0</v>
      </c>
      <c r="M21" s="14">
        <v>2.0</v>
      </c>
      <c r="N21" s="14">
        <v>1.0</v>
      </c>
      <c r="O21" s="14">
        <v>1.0</v>
      </c>
      <c r="P21" s="14">
        <v>1.0</v>
      </c>
      <c r="Q21" s="14">
        <v>2.0</v>
      </c>
      <c r="R21" s="14">
        <v>1.0</v>
      </c>
      <c r="S21" s="14">
        <v>5.0</v>
      </c>
    </row>
    <row r="22">
      <c r="B22" s="14">
        <v>5.0</v>
      </c>
      <c r="C22" s="14">
        <v>5.0</v>
      </c>
      <c r="D22" s="14">
        <v>5.0</v>
      </c>
      <c r="E22" s="14">
        <v>5.0</v>
      </c>
      <c r="F22" s="14">
        <v>5.0</v>
      </c>
      <c r="G22" s="14">
        <v>5.0</v>
      </c>
      <c r="H22" s="14">
        <v>5.0</v>
      </c>
      <c r="I22" s="14">
        <v>4.0</v>
      </c>
      <c r="J22" s="14">
        <v>5.0</v>
      </c>
      <c r="K22" s="14">
        <v>4.0</v>
      </c>
      <c r="L22" s="14">
        <v>5.0</v>
      </c>
      <c r="M22" s="14">
        <v>5.0</v>
      </c>
      <c r="N22" s="14">
        <v>5.0</v>
      </c>
      <c r="O22" s="14">
        <v>1.0</v>
      </c>
      <c r="P22" s="14">
        <v>5.0</v>
      </c>
      <c r="Q22" s="14">
        <v>2.0</v>
      </c>
      <c r="R22" s="14">
        <v>5.0</v>
      </c>
      <c r="S22" s="14">
        <v>5.0</v>
      </c>
    </row>
    <row r="23">
      <c r="B23" s="14">
        <v>5.0</v>
      </c>
      <c r="C23" s="14">
        <v>5.0</v>
      </c>
      <c r="D23" s="14">
        <v>4.0</v>
      </c>
      <c r="E23" s="14">
        <v>5.0</v>
      </c>
      <c r="F23" s="14">
        <v>5.0</v>
      </c>
      <c r="G23" s="14">
        <v>5.0</v>
      </c>
      <c r="H23" s="14">
        <v>4.0</v>
      </c>
      <c r="I23" s="14">
        <v>5.0</v>
      </c>
      <c r="J23" s="14">
        <v>5.0</v>
      </c>
      <c r="K23" s="14">
        <v>1.0</v>
      </c>
      <c r="L23" s="14">
        <v>5.0</v>
      </c>
      <c r="M23" s="14">
        <v>1.0</v>
      </c>
      <c r="N23" s="14">
        <v>5.0</v>
      </c>
      <c r="O23" s="14">
        <v>1.0</v>
      </c>
      <c r="P23" s="14">
        <v>5.0</v>
      </c>
      <c r="Q23" s="14">
        <v>1.0</v>
      </c>
      <c r="R23" s="14">
        <v>1.0</v>
      </c>
      <c r="S23" s="14">
        <v>5.0</v>
      </c>
    </row>
    <row r="24">
      <c r="B24" s="14">
        <v>5.0</v>
      </c>
      <c r="C24" s="14">
        <v>5.0</v>
      </c>
      <c r="D24" s="14">
        <v>5.0</v>
      </c>
      <c r="E24" s="14">
        <v>5.0</v>
      </c>
      <c r="F24" s="14">
        <v>5.0</v>
      </c>
      <c r="G24" s="14">
        <v>5.0</v>
      </c>
      <c r="H24" s="14">
        <v>5.0</v>
      </c>
      <c r="I24" s="14">
        <v>5.0</v>
      </c>
      <c r="J24" s="14">
        <v>1.0</v>
      </c>
      <c r="K24" s="14">
        <v>1.0</v>
      </c>
      <c r="L24" s="14">
        <v>5.0</v>
      </c>
      <c r="M24" s="14">
        <v>1.0</v>
      </c>
      <c r="N24" s="14">
        <v>5.0</v>
      </c>
      <c r="O24" s="14">
        <v>1.0</v>
      </c>
      <c r="P24" s="14">
        <v>1.0</v>
      </c>
      <c r="Q24" s="14">
        <v>1.0</v>
      </c>
      <c r="R24" s="14">
        <v>1.0</v>
      </c>
      <c r="S24" s="14">
        <v>1.0</v>
      </c>
    </row>
    <row r="25">
      <c r="B25" s="14">
        <v>5.0</v>
      </c>
      <c r="C25" s="14">
        <v>5.0</v>
      </c>
      <c r="D25" s="14">
        <v>5.0</v>
      </c>
      <c r="E25" s="14">
        <v>5.0</v>
      </c>
      <c r="F25" s="14">
        <v>4.0</v>
      </c>
      <c r="G25" s="14">
        <v>5.0</v>
      </c>
      <c r="H25" s="14">
        <v>5.0</v>
      </c>
      <c r="I25" s="14">
        <v>5.0</v>
      </c>
      <c r="J25" s="14">
        <v>3.0</v>
      </c>
      <c r="K25" s="14">
        <v>5.0</v>
      </c>
      <c r="L25" s="14">
        <v>5.0</v>
      </c>
      <c r="M25" s="14">
        <v>5.0</v>
      </c>
      <c r="N25" s="14">
        <v>1.0</v>
      </c>
      <c r="O25" s="14">
        <v>5.0</v>
      </c>
      <c r="P25" s="14">
        <v>5.0</v>
      </c>
      <c r="Q25" s="14">
        <v>4.0</v>
      </c>
      <c r="R25" s="14">
        <v>5.0</v>
      </c>
      <c r="S25" s="14">
        <v>4.0</v>
      </c>
    </row>
    <row r="26">
      <c r="B26" s="14">
        <v>5.0</v>
      </c>
      <c r="C26" s="14">
        <v>1.0</v>
      </c>
      <c r="D26" s="14">
        <v>5.0</v>
      </c>
      <c r="E26" s="14">
        <v>5.0</v>
      </c>
      <c r="F26" s="14">
        <v>5.0</v>
      </c>
      <c r="G26" s="14">
        <v>5.0</v>
      </c>
      <c r="H26" s="14">
        <v>5.0</v>
      </c>
      <c r="I26" s="14">
        <v>5.0</v>
      </c>
      <c r="J26" s="14">
        <v>5.0</v>
      </c>
      <c r="K26" s="14">
        <v>1.0</v>
      </c>
      <c r="L26" s="14">
        <v>5.0</v>
      </c>
      <c r="M26" s="14">
        <v>5.0</v>
      </c>
      <c r="N26" s="14">
        <v>5.0</v>
      </c>
      <c r="O26" s="14">
        <v>5.0</v>
      </c>
      <c r="P26" s="14">
        <v>5.0</v>
      </c>
      <c r="Q26" s="14">
        <v>5.0</v>
      </c>
      <c r="R26" s="14">
        <v>5.0</v>
      </c>
      <c r="S26" s="14">
        <v>5.0</v>
      </c>
    </row>
    <row r="27">
      <c r="B27" s="14">
        <v>5.0</v>
      </c>
      <c r="C27" s="14">
        <v>5.0</v>
      </c>
      <c r="D27" s="14">
        <v>5.0</v>
      </c>
      <c r="E27" s="14">
        <v>5.0</v>
      </c>
      <c r="F27" s="14">
        <v>5.0</v>
      </c>
      <c r="G27" s="14">
        <v>5.0</v>
      </c>
      <c r="H27" s="14">
        <v>5.0</v>
      </c>
      <c r="I27" s="14">
        <v>5.0</v>
      </c>
      <c r="J27" s="14">
        <v>3.0</v>
      </c>
      <c r="K27" s="14">
        <v>1.0</v>
      </c>
      <c r="L27" s="14">
        <v>5.0</v>
      </c>
      <c r="M27" s="14">
        <v>5.0</v>
      </c>
      <c r="N27" s="14">
        <v>5.0</v>
      </c>
      <c r="O27" s="14">
        <v>5.0</v>
      </c>
      <c r="P27" s="14">
        <v>5.0</v>
      </c>
      <c r="Q27" s="14">
        <v>1.0</v>
      </c>
      <c r="R27" s="14">
        <v>5.0</v>
      </c>
      <c r="S27" s="14">
        <v>1.0</v>
      </c>
    </row>
    <row r="28">
      <c r="B28" s="14">
        <v>5.0</v>
      </c>
      <c r="C28" s="14">
        <v>5.0</v>
      </c>
      <c r="D28" s="14">
        <v>5.0</v>
      </c>
      <c r="E28" s="14">
        <v>5.0</v>
      </c>
      <c r="F28" s="14">
        <v>5.0</v>
      </c>
      <c r="G28" s="14">
        <v>5.0</v>
      </c>
      <c r="H28" s="14">
        <v>1.0</v>
      </c>
      <c r="I28" s="14">
        <v>5.0</v>
      </c>
      <c r="J28" s="14">
        <v>5.0</v>
      </c>
      <c r="K28" s="14">
        <v>1.0</v>
      </c>
      <c r="L28" s="14">
        <v>3.0</v>
      </c>
      <c r="M28" s="14">
        <v>1.0</v>
      </c>
      <c r="N28" s="14">
        <v>1.0</v>
      </c>
      <c r="O28" s="14">
        <v>1.0</v>
      </c>
      <c r="P28" s="14">
        <v>4.0</v>
      </c>
      <c r="Q28" s="14">
        <v>1.0</v>
      </c>
      <c r="R28" s="14">
        <v>4.0</v>
      </c>
      <c r="S28" s="14">
        <v>3.0</v>
      </c>
    </row>
    <row r="29">
      <c r="B29" s="14">
        <v>5.0</v>
      </c>
      <c r="C29" s="14">
        <v>5.0</v>
      </c>
      <c r="D29" s="14">
        <v>5.0</v>
      </c>
      <c r="E29" s="14">
        <v>5.0</v>
      </c>
      <c r="F29" s="14">
        <v>5.0</v>
      </c>
      <c r="G29" s="14">
        <v>5.0</v>
      </c>
      <c r="H29" s="14">
        <v>5.0</v>
      </c>
      <c r="I29" s="14">
        <v>5.0</v>
      </c>
      <c r="J29" s="14">
        <v>5.0</v>
      </c>
      <c r="K29" s="14">
        <v>5.0</v>
      </c>
      <c r="L29" s="14">
        <v>5.0</v>
      </c>
      <c r="M29" s="14">
        <v>5.0</v>
      </c>
      <c r="N29" s="14">
        <v>5.0</v>
      </c>
      <c r="O29" s="14">
        <v>5.0</v>
      </c>
      <c r="P29" s="14">
        <v>5.0</v>
      </c>
      <c r="Q29" s="14">
        <v>1.0</v>
      </c>
      <c r="R29" s="14">
        <v>5.0</v>
      </c>
      <c r="S29" s="14">
        <v>5.0</v>
      </c>
    </row>
    <row r="30">
      <c r="B30" s="14">
        <v>5.0</v>
      </c>
      <c r="C30" s="14">
        <v>5.0</v>
      </c>
      <c r="D30" s="14">
        <v>5.0</v>
      </c>
      <c r="E30" s="14">
        <v>5.0</v>
      </c>
      <c r="F30" s="14">
        <v>5.0</v>
      </c>
      <c r="G30" s="14">
        <v>5.0</v>
      </c>
      <c r="H30" s="14">
        <v>5.0</v>
      </c>
      <c r="I30" s="14">
        <v>1.0</v>
      </c>
      <c r="J30" s="14">
        <v>5.0</v>
      </c>
      <c r="K30" s="14">
        <v>1.0</v>
      </c>
      <c r="L30" s="14">
        <v>5.0</v>
      </c>
      <c r="M30" s="14">
        <v>1.0</v>
      </c>
      <c r="N30" s="14">
        <v>1.0</v>
      </c>
      <c r="O30" s="14">
        <v>1.0</v>
      </c>
      <c r="P30" s="14">
        <v>1.0</v>
      </c>
      <c r="Q30" s="14">
        <v>1.0</v>
      </c>
      <c r="R30" s="14">
        <v>1.0</v>
      </c>
      <c r="S30" s="14">
        <v>1.0</v>
      </c>
    </row>
    <row r="31">
      <c r="B31" s="14">
        <v>5.0</v>
      </c>
      <c r="C31" s="14">
        <v>5.0</v>
      </c>
      <c r="D31" s="14">
        <v>1.0</v>
      </c>
      <c r="E31" s="14">
        <v>5.0</v>
      </c>
      <c r="F31" s="14">
        <v>1.0</v>
      </c>
      <c r="G31" s="14">
        <v>1.0</v>
      </c>
      <c r="H31" s="14">
        <v>1.0</v>
      </c>
      <c r="I31" s="14">
        <v>1.0</v>
      </c>
      <c r="J31" s="14">
        <v>1.0</v>
      </c>
      <c r="K31" s="14">
        <v>1.0</v>
      </c>
      <c r="L31" s="14">
        <v>1.0</v>
      </c>
      <c r="M31" s="14">
        <v>1.0</v>
      </c>
      <c r="N31" s="14">
        <v>1.0</v>
      </c>
      <c r="O31" s="14">
        <v>1.0</v>
      </c>
      <c r="P31" s="14">
        <v>1.0</v>
      </c>
      <c r="Q31" s="14">
        <v>1.0</v>
      </c>
      <c r="R31" s="14">
        <v>1.0</v>
      </c>
      <c r="S31" s="14">
        <v>1.0</v>
      </c>
    </row>
    <row r="32">
      <c r="B32" s="14">
        <v>5.0</v>
      </c>
      <c r="C32" s="14">
        <v>5.0</v>
      </c>
      <c r="D32" s="14">
        <v>5.0</v>
      </c>
      <c r="E32" s="14">
        <v>5.0</v>
      </c>
      <c r="F32" s="14">
        <v>5.0</v>
      </c>
      <c r="G32" s="14">
        <v>5.0</v>
      </c>
      <c r="H32" s="14">
        <v>4.0</v>
      </c>
      <c r="I32" s="14">
        <v>5.0</v>
      </c>
      <c r="J32" s="14">
        <v>1.0</v>
      </c>
      <c r="K32" s="14">
        <v>1.0</v>
      </c>
      <c r="L32" s="14">
        <v>5.0</v>
      </c>
      <c r="M32" s="14">
        <v>5.0</v>
      </c>
      <c r="N32" s="14">
        <v>1.0</v>
      </c>
      <c r="O32" s="14">
        <v>4.0</v>
      </c>
      <c r="P32" s="14">
        <v>1.0</v>
      </c>
      <c r="Q32" s="14">
        <v>1.0</v>
      </c>
      <c r="R32" s="14">
        <v>5.0</v>
      </c>
      <c r="S32" s="14">
        <v>5.0</v>
      </c>
    </row>
    <row r="33">
      <c r="B33" s="14">
        <v>5.0</v>
      </c>
      <c r="C33" s="14">
        <v>5.0</v>
      </c>
      <c r="D33" s="14">
        <v>5.0</v>
      </c>
      <c r="E33" s="14">
        <v>5.0</v>
      </c>
      <c r="F33" s="14">
        <v>5.0</v>
      </c>
      <c r="G33" s="14">
        <v>5.0</v>
      </c>
      <c r="H33" s="14">
        <v>3.0</v>
      </c>
      <c r="I33" s="14">
        <v>1.0</v>
      </c>
      <c r="J33" s="14">
        <v>5.0</v>
      </c>
      <c r="K33" s="14">
        <v>3.0</v>
      </c>
      <c r="L33" s="14">
        <v>5.0</v>
      </c>
      <c r="M33" s="14">
        <v>1.0</v>
      </c>
      <c r="N33" s="14">
        <v>5.0</v>
      </c>
      <c r="O33" s="14">
        <v>5.0</v>
      </c>
      <c r="P33" s="14">
        <v>1.0</v>
      </c>
      <c r="Q33" s="14">
        <v>1.0</v>
      </c>
      <c r="R33" s="14">
        <v>1.0</v>
      </c>
      <c r="S33" s="14">
        <v>3.0</v>
      </c>
    </row>
    <row r="35">
      <c r="B35" s="4">
        <f t="shared" ref="B35:S35" si="1">AVERAGE(B20:B33)</f>
        <v>5</v>
      </c>
      <c r="C35" s="4">
        <f t="shared" si="1"/>
        <v>4.714285714</v>
      </c>
      <c r="D35" s="4">
        <f t="shared" si="1"/>
        <v>4.357142857</v>
      </c>
      <c r="E35" s="4">
        <f t="shared" si="1"/>
        <v>4.928571429</v>
      </c>
      <c r="F35" s="4">
        <f t="shared" si="1"/>
        <v>4.571428571</v>
      </c>
      <c r="G35" s="4">
        <f t="shared" si="1"/>
        <v>4.428571429</v>
      </c>
      <c r="H35" s="4">
        <f t="shared" si="1"/>
        <v>3.928571429</v>
      </c>
      <c r="I35" s="4">
        <f t="shared" si="1"/>
        <v>3.785714286</v>
      </c>
      <c r="J35" s="4">
        <f t="shared" si="1"/>
        <v>3.857142857</v>
      </c>
      <c r="K35" s="4">
        <f t="shared" si="1"/>
        <v>1.928571429</v>
      </c>
      <c r="L35" s="4">
        <f t="shared" si="1"/>
        <v>4.5</v>
      </c>
      <c r="M35" s="4">
        <f t="shared" si="1"/>
        <v>2.785714286</v>
      </c>
      <c r="N35" s="4">
        <f t="shared" si="1"/>
        <v>3.285714286</v>
      </c>
      <c r="O35" s="4">
        <f t="shared" si="1"/>
        <v>2.642857143</v>
      </c>
      <c r="P35" s="4">
        <f t="shared" si="1"/>
        <v>2.928571429</v>
      </c>
      <c r="Q35" s="4">
        <f t="shared" si="1"/>
        <v>1.642857143</v>
      </c>
      <c r="R35" s="4">
        <f t="shared" si="1"/>
        <v>2.928571429</v>
      </c>
      <c r="S35" s="4">
        <f t="shared" si="1"/>
        <v>3.214285714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75"/>
    <col customWidth="1" min="10" max="10" width="23.88"/>
    <col customWidth="1" min="11" max="11" width="24.63"/>
  </cols>
  <sheetData>
    <row r="1">
      <c r="A1" s="1" t="s">
        <v>0</v>
      </c>
      <c r="B1" s="1" t="s">
        <v>216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>
      <c r="A2" s="12">
        <v>45372.35392430556</v>
      </c>
      <c r="B2" s="13" t="s">
        <v>264</v>
      </c>
      <c r="C2" s="14">
        <v>61.0</v>
      </c>
      <c r="D2" s="13" t="s">
        <v>93</v>
      </c>
      <c r="E2" s="13" t="s">
        <v>36</v>
      </c>
      <c r="F2" s="13" t="s">
        <v>36</v>
      </c>
      <c r="G2" s="13" t="s">
        <v>36</v>
      </c>
      <c r="H2" s="13" t="s">
        <v>94</v>
      </c>
      <c r="I2" s="13" t="s">
        <v>95</v>
      </c>
      <c r="J2" s="13" t="s">
        <v>96</v>
      </c>
      <c r="K2" s="13" t="s">
        <v>97</v>
      </c>
      <c r="L2" s="13" t="s">
        <v>37</v>
      </c>
      <c r="M2" s="13" t="s">
        <v>71</v>
      </c>
      <c r="N2" s="13" t="s">
        <v>43</v>
      </c>
      <c r="O2" s="13" t="s">
        <v>43</v>
      </c>
      <c r="P2" s="13" t="s">
        <v>53</v>
      </c>
      <c r="Q2" s="13" t="s">
        <v>43</v>
      </c>
      <c r="R2" s="13" t="s">
        <v>53</v>
      </c>
      <c r="S2" s="14">
        <v>5.0</v>
      </c>
      <c r="T2" s="14">
        <v>5.0</v>
      </c>
      <c r="U2" s="14">
        <v>5.0</v>
      </c>
      <c r="V2" s="14">
        <v>5.0</v>
      </c>
      <c r="W2" s="14">
        <v>5.0</v>
      </c>
      <c r="X2" s="14">
        <v>5.0</v>
      </c>
      <c r="Y2" s="14">
        <v>5.0</v>
      </c>
      <c r="Z2" s="14">
        <v>5.0</v>
      </c>
      <c r="AA2" s="14">
        <v>1.0</v>
      </c>
      <c r="AB2" s="14">
        <v>1.0</v>
      </c>
      <c r="AC2" s="14">
        <v>5.0</v>
      </c>
      <c r="AD2" s="14">
        <v>5.0</v>
      </c>
      <c r="AE2" s="14">
        <v>5.0</v>
      </c>
      <c r="AF2" s="14">
        <v>5.0</v>
      </c>
      <c r="AG2" s="14">
        <v>2.0</v>
      </c>
      <c r="AH2" s="14">
        <v>1.0</v>
      </c>
      <c r="AI2" s="14">
        <v>5.0</v>
      </c>
      <c r="AJ2" s="14">
        <v>5.0</v>
      </c>
      <c r="AK2" s="13"/>
      <c r="AL2" s="13"/>
      <c r="AM2" s="13"/>
      <c r="AN2" s="13"/>
      <c r="AO2" s="13"/>
      <c r="AP2" s="13"/>
    </row>
    <row r="3">
      <c r="A3" s="12">
        <v>45372.37151578703</v>
      </c>
      <c r="B3" s="13" t="s">
        <v>265</v>
      </c>
      <c r="C3" s="14">
        <v>67.0</v>
      </c>
      <c r="D3" s="13" t="s">
        <v>93</v>
      </c>
      <c r="E3" s="13" t="s">
        <v>36</v>
      </c>
      <c r="F3" s="13" t="s">
        <v>36</v>
      </c>
      <c r="G3" s="13" t="s">
        <v>36</v>
      </c>
      <c r="H3" s="13" t="s">
        <v>94</v>
      </c>
      <c r="I3" s="13" t="s">
        <v>98</v>
      </c>
      <c r="J3" s="13" t="s">
        <v>99</v>
      </c>
      <c r="K3" s="13" t="s">
        <v>100</v>
      </c>
      <c r="L3" s="13" t="s">
        <v>36</v>
      </c>
      <c r="M3" s="13" t="s">
        <v>58</v>
      </c>
      <c r="N3" s="13" t="s">
        <v>53</v>
      </c>
      <c r="O3" s="13" t="s">
        <v>53</v>
      </c>
      <c r="P3" s="13" t="s">
        <v>43</v>
      </c>
      <c r="Q3" s="13" t="s">
        <v>43</v>
      </c>
      <c r="R3" s="13" t="s">
        <v>43</v>
      </c>
      <c r="S3" s="14">
        <v>5.0</v>
      </c>
      <c r="T3" s="14">
        <v>5.0</v>
      </c>
      <c r="U3" s="14">
        <v>5.0</v>
      </c>
      <c r="V3" s="14">
        <v>5.0</v>
      </c>
      <c r="W3" s="14">
        <v>5.0</v>
      </c>
      <c r="X3" s="14">
        <v>5.0</v>
      </c>
      <c r="Y3" s="14">
        <v>5.0</v>
      </c>
      <c r="Z3" s="14">
        <v>1.0</v>
      </c>
      <c r="AA3" s="14">
        <v>1.0</v>
      </c>
      <c r="AB3" s="14">
        <v>5.0</v>
      </c>
      <c r="AC3" s="14">
        <v>5.0</v>
      </c>
      <c r="AD3" s="14">
        <v>2.0</v>
      </c>
      <c r="AE3" s="14">
        <v>1.0</v>
      </c>
      <c r="AF3" s="14">
        <v>5.0</v>
      </c>
      <c r="AG3" s="14">
        <v>4.0</v>
      </c>
      <c r="AH3" s="14">
        <v>4.0</v>
      </c>
      <c r="AI3" s="14">
        <v>1.0</v>
      </c>
      <c r="AJ3" s="14">
        <v>5.0</v>
      </c>
      <c r="AK3" s="13"/>
      <c r="AL3" s="13"/>
      <c r="AM3" s="13"/>
      <c r="AN3" s="13"/>
      <c r="AO3" s="13"/>
      <c r="AP3" s="13"/>
    </row>
    <row r="4">
      <c r="A4" s="12">
        <v>45372.87551832176</v>
      </c>
      <c r="B4" s="13" t="s">
        <v>266</v>
      </c>
      <c r="C4" s="14">
        <v>55.0</v>
      </c>
      <c r="D4" s="13" t="s">
        <v>93</v>
      </c>
      <c r="E4" s="13" t="s">
        <v>36</v>
      </c>
      <c r="F4" s="13" t="s">
        <v>36</v>
      </c>
      <c r="G4" s="13" t="s">
        <v>36</v>
      </c>
      <c r="H4" s="13" t="s">
        <v>125</v>
      </c>
      <c r="I4" s="13" t="s">
        <v>126</v>
      </c>
      <c r="J4" s="13" t="s">
        <v>56</v>
      </c>
      <c r="K4" s="13" t="s">
        <v>127</v>
      </c>
      <c r="L4" s="13" t="s">
        <v>36</v>
      </c>
      <c r="M4" s="13" t="s">
        <v>58</v>
      </c>
      <c r="N4" s="13" t="s">
        <v>53</v>
      </c>
      <c r="O4" s="13" t="s">
        <v>53</v>
      </c>
      <c r="P4" s="13" t="s">
        <v>53</v>
      </c>
      <c r="Q4" s="13" t="s">
        <v>43</v>
      </c>
      <c r="R4" s="13" t="s">
        <v>43</v>
      </c>
      <c r="S4" s="14">
        <v>5.0</v>
      </c>
      <c r="T4" s="14">
        <v>5.0</v>
      </c>
      <c r="U4" s="14">
        <v>5.0</v>
      </c>
      <c r="V4" s="14">
        <v>5.0</v>
      </c>
      <c r="W4" s="14">
        <v>5.0</v>
      </c>
      <c r="X4" s="14">
        <v>5.0</v>
      </c>
      <c r="Y4" s="14">
        <v>5.0</v>
      </c>
      <c r="Z4" s="14">
        <v>5.0</v>
      </c>
      <c r="AA4" s="14">
        <v>5.0</v>
      </c>
      <c r="AB4" s="14">
        <v>5.0</v>
      </c>
      <c r="AC4" s="14">
        <v>5.0</v>
      </c>
      <c r="AD4" s="14">
        <v>5.0</v>
      </c>
      <c r="AE4" s="14">
        <v>5.0</v>
      </c>
      <c r="AF4" s="14">
        <v>5.0</v>
      </c>
      <c r="AG4" s="14">
        <v>5.0</v>
      </c>
      <c r="AH4" s="14">
        <v>5.0</v>
      </c>
      <c r="AI4" s="14">
        <v>5.0</v>
      </c>
      <c r="AJ4" s="14">
        <v>5.0</v>
      </c>
      <c r="AK4" s="13"/>
      <c r="AL4" s="13"/>
      <c r="AM4" s="13"/>
      <c r="AN4" s="13"/>
      <c r="AO4" s="13"/>
      <c r="AP4" s="13"/>
    </row>
    <row r="7">
      <c r="A7" s="5"/>
      <c r="B7" s="5" t="s">
        <v>172</v>
      </c>
      <c r="C7" s="5" t="s">
        <v>173</v>
      </c>
      <c r="D7" s="5" t="s">
        <v>174</v>
      </c>
      <c r="E7" s="5" t="s">
        <v>175</v>
      </c>
      <c r="F7" s="5" t="s">
        <v>176</v>
      </c>
      <c r="G7" s="5" t="s">
        <v>177</v>
      </c>
      <c r="H7" s="5" t="s">
        <v>178</v>
      </c>
      <c r="I7" s="5" t="s">
        <v>179</v>
      </c>
      <c r="J7" s="5" t="s">
        <v>180</v>
      </c>
      <c r="K7" s="5" t="s">
        <v>181</v>
      </c>
      <c r="L7" s="5" t="s">
        <v>182</v>
      </c>
      <c r="M7" s="5" t="s">
        <v>183</v>
      </c>
      <c r="N7" s="5" t="s">
        <v>184</v>
      </c>
      <c r="O7" s="5" t="s">
        <v>185</v>
      </c>
      <c r="P7" s="5" t="s">
        <v>186</v>
      </c>
      <c r="Q7" s="5" t="s">
        <v>187</v>
      </c>
      <c r="R7" s="5" t="s">
        <v>188</v>
      </c>
      <c r="S7" s="5" t="s">
        <v>189</v>
      </c>
      <c r="T7" s="3" t="s">
        <v>190</v>
      </c>
    </row>
    <row r="8">
      <c r="B8" s="14">
        <v>5.0</v>
      </c>
      <c r="C8" s="14">
        <v>5.0</v>
      </c>
      <c r="D8" s="14">
        <v>5.0</v>
      </c>
      <c r="E8" s="14">
        <v>5.0</v>
      </c>
      <c r="F8" s="14">
        <v>5.0</v>
      </c>
      <c r="G8" s="14">
        <v>5.0</v>
      </c>
      <c r="H8" s="14">
        <v>5.0</v>
      </c>
      <c r="I8" s="14">
        <v>5.0</v>
      </c>
      <c r="J8" s="14">
        <v>1.0</v>
      </c>
      <c r="K8" s="14">
        <v>1.0</v>
      </c>
      <c r="L8" s="14">
        <v>5.0</v>
      </c>
      <c r="M8" s="14">
        <v>5.0</v>
      </c>
      <c r="N8" s="14">
        <v>5.0</v>
      </c>
      <c r="O8" s="14">
        <v>5.0</v>
      </c>
      <c r="P8" s="14">
        <v>2.0</v>
      </c>
      <c r="Q8" s="14">
        <v>1.0</v>
      </c>
      <c r="R8" s="14">
        <v>5.0</v>
      </c>
      <c r="S8" s="14">
        <v>5.0</v>
      </c>
    </row>
    <row r="9">
      <c r="B9" s="14">
        <v>5.0</v>
      </c>
      <c r="C9" s="14">
        <v>5.0</v>
      </c>
      <c r="D9" s="14">
        <v>5.0</v>
      </c>
      <c r="E9" s="14">
        <v>5.0</v>
      </c>
      <c r="F9" s="14">
        <v>5.0</v>
      </c>
      <c r="G9" s="14">
        <v>5.0</v>
      </c>
      <c r="H9" s="14">
        <v>5.0</v>
      </c>
      <c r="I9" s="14">
        <v>1.0</v>
      </c>
      <c r="J9" s="14">
        <v>1.0</v>
      </c>
      <c r="K9" s="14">
        <v>5.0</v>
      </c>
      <c r="L9" s="14">
        <v>5.0</v>
      </c>
      <c r="M9" s="14">
        <v>2.0</v>
      </c>
      <c r="N9" s="14">
        <v>1.0</v>
      </c>
      <c r="O9" s="14">
        <v>5.0</v>
      </c>
      <c r="P9" s="14">
        <v>4.0</v>
      </c>
      <c r="Q9" s="14">
        <v>4.0</v>
      </c>
      <c r="R9" s="14">
        <v>1.0</v>
      </c>
      <c r="S9" s="14">
        <v>5.0</v>
      </c>
    </row>
    <row r="10">
      <c r="B10" s="14">
        <v>5.0</v>
      </c>
      <c r="C10" s="14">
        <v>5.0</v>
      </c>
      <c r="D10" s="14">
        <v>5.0</v>
      </c>
      <c r="E10" s="14">
        <v>5.0</v>
      </c>
      <c r="F10" s="14">
        <v>5.0</v>
      </c>
      <c r="G10" s="14">
        <v>5.0</v>
      </c>
      <c r="H10" s="14">
        <v>5.0</v>
      </c>
      <c r="I10" s="14">
        <v>5.0</v>
      </c>
      <c r="J10" s="14">
        <v>5.0</v>
      </c>
      <c r="K10" s="14">
        <v>5.0</v>
      </c>
      <c r="L10" s="14">
        <v>5.0</v>
      </c>
      <c r="M10" s="14">
        <v>5.0</v>
      </c>
      <c r="N10" s="14">
        <v>5.0</v>
      </c>
      <c r="O10" s="14">
        <v>5.0</v>
      </c>
      <c r="P10" s="14">
        <v>5.0</v>
      </c>
      <c r="Q10" s="14">
        <v>5.0</v>
      </c>
      <c r="R10" s="14">
        <v>5.0</v>
      </c>
      <c r="S10" s="14">
        <v>5.0</v>
      </c>
    </row>
    <row r="12">
      <c r="B12" s="4">
        <f t="shared" ref="B12:S12" si="1">AVERAGE(B8:B10)</f>
        <v>5</v>
      </c>
      <c r="C12" s="4">
        <f t="shared" si="1"/>
        <v>5</v>
      </c>
      <c r="D12" s="4">
        <f t="shared" si="1"/>
        <v>5</v>
      </c>
      <c r="E12" s="4">
        <f t="shared" si="1"/>
        <v>5</v>
      </c>
      <c r="F12" s="4">
        <f t="shared" si="1"/>
        <v>5</v>
      </c>
      <c r="G12" s="4">
        <f t="shared" si="1"/>
        <v>5</v>
      </c>
      <c r="H12" s="4">
        <f t="shared" si="1"/>
        <v>5</v>
      </c>
      <c r="I12" s="4">
        <f t="shared" si="1"/>
        <v>3.666666667</v>
      </c>
      <c r="J12" s="4">
        <f t="shared" si="1"/>
        <v>2.333333333</v>
      </c>
      <c r="K12" s="4">
        <f t="shared" si="1"/>
        <v>3.666666667</v>
      </c>
      <c r="L12" s="4">
        <f t="shared" si="1"/>
        <v>5</v>
      </c>
      <c r="M12" s="4">
        <f t="shared" si="1"/>
        <v>4</v>
      </c>
      <c r="N12" s="4">
        <f t="shared" si="1"/>
        <v>3.666666667</v>
      </c>
      <c r="O12" s="4">
        <f t="shared" si="1"/>
        <v>5</v>
      </c>
      <c r="P12" s="4">
        <f t="shared" si="1"/>
        <v>3.666666667</v>
      </c>
      <c r="Q12" s="4">
        <f t="shared" si="1"/>
        <v>3.333333333</v>
      </c>
      <c r="R12" s="4">
        <f t="shared" si="1"/>
        <v>3.666666667</v>
      </c>
      <c r="S12" s="4">
        <f t="shared" si="1"/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 t="s">
        <v>172</v>
      </c>
      <c r="C1" s="5" t="s">
        <v>173</v>
      </c>
      <c r="D1" s="5" t="s">
        <v>174</v>
      </c>
      <c r="E1" s="5" t="s">
        <v>175</v>
      </c>
      <c r="F1" s="5" t="s">
        <v>176</v>
      </c>
      <c r="G1" s="5" t="s">
        <v>177</v>
      </c>
      <c r="H1" s="5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P1" s="5" t="s">
        <v>186</v>
      </c>
      <c r="Q1" s="5" t="s">
        <v>187</v>
      </c>
      <c r="R1" s="5" t="s">
        <v>188</v>
      </c>
      <c r="S1" s="5" t="s">
        <v>189</v>
      </c>
      <c r="T1" s="3" t="s">
        <v>267</v>
      </c>
    </row>
    <row r="2">
      <c r="A2" s="3" t="s">
        <v>268</v>
      </c>
      <c r="B2" s="4">
        <v>4.933333333333334</v>
      </c>
      <c r="C2" s="4">
        <v>3.2666666666666666</v>
      </c>
      <c r="D2" s="4">
        <v>2.6</v>
      </c>
      <c r="E2" s="4">
        <v>4.666666666666667</v>
      </c>
      <c r="F2" s="4">
        <v>3.533333333333333</v>
      </c>
      <c r="G2" s="4">
        <v>3.1333333333333333</v>
      </c>
      <c r="H2" s="4">
        <v>2.6666666666666665</v>
      </c>
      <c r="I2" s="4">
        <v>2.3333333333333335</v>
      </c>
      <c r="J2" s="4">
        <v>2.2666666666666666</v>
      </c>
      <c r="K2" s="4">
        <v>1.1333333333333333</v>
      </c>
      <c r="L2" s="4">
        <v>3.6</v>
      </c>
      <c r="M2" s="4">
        <v>1.5333333333333334</v>
      </c>
      <c r="N2" s="4">
        <v>2.6666666666666665</v>
      </c>
      <c r="O2" s="4">
        <v>1.0666666666666667</v>
      </c>
      <c r="P2" s="4">
        <v>1.8</v>
      </c>
      <c r="Q2" s="4">
        <v>1.2666666666666666</v>
      </c>
      <c r="R2" s="4">
        <v>1.9333333333333333</v>
      </c>
      <c r="S2" s="4">
        <v>1.6</v>
      </c>
      <c r="T2" s="4">
        <f t="shared" ref="T2:T5" si="1">MEDIAN(B2:S2)</f>
        <v>2.466666667</v>
      </c>
    </row>
    <row r="3">
      <c r="A3" s="3" t="s">
        <v>269</v>
      </c>
      <c r="B3" s="4">
        <v>5.0</v>
      </c>
      <c r="C3" s="4">
        <v>4.714285714285714</v>
      </c>
      <c r="D3" s="4">
        <v>4.357142857142857</v>
      </c>
      <c r="E3" s="4">
        <v>4.928571428571429</v>
      </c>
      <c r="F3" s="4">
        <v>4.571428571428571</v>
      </c>
      <c r="G3" s="4">
        <v>4.428571428571429</v>
      </c>
      <c r="H3" s="4">
        <v>3.9285714285714284</v>
      </c>
      <c r="I3" s="4">
        <v>3.7857142857142856</v>
      </c>
      <c r="J3" s="4">
        <v>3.857142857142857</v>
      </c>
      <c r="K3" s="4">
        <v>1.9285714285714286</v>
      </c>
      <c r="L3" s="4">
        <v>4.5</v>
      </c>
      <c r="M3" s="4">
        <v>2.7857142857142856</v>
      </c>
      <c r="N3" s="4">
        <v>3.2857142857142856</v>
      </c>
      <c r="O3" s="4">
        <v>2.642857142857143</v>
      </c>
      <c r="P3" s="4">
        <v>2.9285714285714284</v>
      </c>
      <c r="Q3" s="4">
        <v>1.6428571428571428</v>
      </c>
      <c r="R3" s="4">
        <v>2.9285714285714284</v>
      </c>
      <c r="S3" s="4">
        <v>3.2142857142857144</v>
      </c>
      <c r="T3" s="4">
        <f t="shared" si="1"/>
        <v>3.821428571</v>
      </c>
    </row>
    <row r="4">
      <c r="A4" s="3" t="s">
        <v>270</v>
      </c>
      <c r="B4" s="4">
        <v>5.0</v>
      </c>
      <c r="C4" s="4">
        <v>5.0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3.6666666666666665</v>
      </c>
      <c r="J4" s="4">
        <v>2.3333333333333335</v>
      </c>
      <c r="K4" s="4">
        <v>3.6666666666666665</v>
      </c>
      <c r="L4" s="4">
        <v>5.0</v>
      </c>
      <c r="M4" s="4">
        <v>4.0</v>
      </c>
      <c r="N4" s="4">
        <v>3.6666666666666665</v>
      </c>
      <c r="O4" s="4">
        <v>5.0</v>
      </c>
      <c r="P4" s="4">
        <v>3.6666666666666665</v>
      </c>
      <c r="Q4" s="4">
        <v>3.3333333333333335</v>
      </c>
      <c r="R4" s="4">
        <v>3.6666666666666665</v>
      </c>
      <c r="S4" s="4">
        <v>5.0</v>
      </c>
      <c r="T4" s="4">
        <f t="shared" si="1"/>
        <v>5</v>
      </c>
    </row>
    <row r="5">
      <c r="B5" s="4">
        <f t="shared" ref="B5:S5" si="2">AVERAGE(B2:B4)</f>
        <v>4.977777778</v>
      </c>
      <c r="C5" s="4">
        <f t="shared" si="2"/>
        <v>4.326984127</v>
      </c>
      <c r="D5" s="4">
        <f t="shared" si="2"/>
        <v>3.985714286</v>
      </c>
      <c r="E5" s="4">
        <f t="shared" si="2"/>
        <v>4.865079365</v>
      </c>
      <c r="F5" s="4">
        <f t="shared" si="2"/>
        <v>4.368253968</v>
      </c>
      <c r="G5" s="4">
        <f t="shared" si="2"/>
        <v>4.187301587</v>
      </c>
      <c r="H5" s="4">
        <f t="shared" si="2"/>
        <v>3.865079365</v>
      </c>
      <c r="I5" s="4">
        <f t="shared" si="2"/>
        <v>3.261904762</v>
      </c>
      <c r="J5" s="4">
        <f t="shared" si="2"/>
        <v>2.819047619</v>
      </c>
      <c r="K5" s="4">
        <f t="shared" si="2"/>
        <v>2.242857143</v>
      </c>
      <c r="L5" s="4">
        <f t="shared" si="2"/>
        <v>4.366666667</v>
      </c>
      <c r="M5" s="4">
        <f t="shared" si="2"/>
        <v>2.773015873</v>
      </c>
      <c r="N5" s="4">
        <f t="shared" si="2"/>
        <v>3.206349206</v>
      </c>
      <c r="O5" s="4">
        <f t="shared" si="2"/>
        <v>2.903174603</v>
      </c>
      <c r="P5" s="4">
        <f t="shared" si="2"/>
        <v>2.798412698</v>
      </c>
      <c r="Q5" s="4">
        <f t="shared" si="2"/>
        <v>2.080952381</v>
      </c>
      <c r="R5" s="4">
        <f t="shared" si="2"/>
        <v>2.842857143</v>
      </c>
      <c r="S5" s="4">
        <f t="shared" si="2"/>
        <v>3.271428571</v>
      </c>
      <c r="T5" s="4">
        <f t="shared" si="1"/>
        <v>3.266666667</v>
      </c>
    </row>
    <row r="9">
      <c r="B9" s="3" t="s">
        <v>197</v>
      </c>
      <c r="C9" s="3" t="s">
        <v>198</v>
      </c>
      <c r="D9" s="3" t="s">
        <v>199</v>
      </c>
      <c r="E9" s="3" t="s">
        <v>200</v>
      </c>
      <c r="F9" s="3" t="s">
        <v>201</v>
      </c>
      <c r="G9" s="3" t="s">
        <v>202</v>
      </c>
      <c r="H9" s="3" t="s">
        <v>203</v>
      </c>
      <c r="I9" s="3" t="s">
        <v>204</v>
      </c>
      <c r="J9" s="3" t="s">
        <v>205</v>
      </c>
      <c r="K9" s="3" t="s">
        <v>271</v>
      </c>
    </row>
    <row r="10">
      <c r="A10" s="3" t="s">
        <v>268</v>
      </c>
      <c r="B10" s="4">
        <f t="shared" ref="B10:B12" si="3">MEDIAN(B2:C2)</f>
        <v>4.1</v>
      </c>
      <c r="C10" s="4">
        <f t="shared" ref="C10:C12" si="4">MEDIAN(D2,E2)</f>
        <v>3.633333333</v>
      </c>
      <c r="D10" s="4">
        <f t="shared" ref="D10:D12" si="5">MEDIAN(F2,G2)</f>
        <v>3.333333333</v>
      </c>
      <c r="E10" s="4">
        <f t="shared" ref="E10:E12" si="6">MEDIAN(H2,I2)</f>
        <v>2.5</v>
      </c>
      <c r="F10" s="4">
        <f t="shared" ref="F10:F12" si="7">MEDIAN(J2,K2)</f>
        <v>1.7</v>
      </c>
      <c r="G10" s="4">
        <f t="shared" ref="G10:G12" si="8">MEDIAN(L2,M2)</f>
        <v>2.566666667</v>
      </c>
      <c r="H10" s="4">
        <f t="shared" ref="H10:H12" si="9">MEDIAN(N2,O2)</f>
        <v>1.866666667</v>
      </c>
      <c r="I10" s="4">
        <f t="shared" ref="I10:I12" si="10">MEDIAN(P2,Q2)</f>
        <v>1.533333333</v>
      </c>
      <c r="J10" s="4">
        <f t="shared" ref="J10:J12" si="11">MEDIAN(R2,S2)</f>
        <v>1.766666667</v>
      </c>
      <c r="K10" s="4">
        <f t="shared" ref="K10:K13" si="12">AVERAGE(B10:J10)</f>
        <v>2.555555556</v>
      </c>
    </row>
    <row r="11">
      <c r="A11" s="3" t="s">
        <v>269</v>
      </c>
      <c r="B11" s="4">
        <f t="shared" si="3"/>
        <v>4.857142857</v>
      </c>
      <c r="C11" s="4">
        <f t="shared" si="4"/>
        <v>4.642857143</v>
      </c>
      <c r="D11" s="4">
        <f t="shared" si="5"/>
        <v>4.5</v>
      </c>
      <c r="E11" s="4">
        <f t="shared" si="6"/>
        <v>3.857142857</v>
      </c>
      <c r="F11" s="4">
        <f t="shared" si="7"/>
        <v>2.892857143</v>
      </c>
      <c r="G11" s="4">
        <f t="shared" si="8"/>
        <v>3.642857143</v>
      </c>
      <c r="H11" s="4">
        <f t="shared" si="9"/>
        <v>2.964285714</v>
      </c>
      <c r="I11" s="4">
        <f t="shared" si="10"/>
        <v>2.285714286</v>
      </c>
      <c r="J11" s="4">
        <f t="shared" si="11"/>
        <v>3.071428571</v>
      </c>
      <c r="K11" s="4">
        <f t="shared" si="12"/>
        <v>3.634920635</v>
      </c>
    </row>
    <row r="12">
      <c r="A12" s="3" t="s">
        <v>270</v>
      </c>
      <c r="B12" s="4">
        <f t="shared" si="3"/>
        <v>5</v>
      </c>
      <c r="C12" s="4">
        <f t="shared" si="4"/>
        <v>5</v>
      </c>
      <c r="D12" s="4">
        <f t="shared" si="5"/>
        <v>5</v>
      </c>
      <c r="E12" s="4">
        <f t="shared" si="6"/>
        <v>4.333333333</v>
      </c>
      <c r="F12" s="4">
        <f t="shared" si="7"/>
        <v>3</v>
      </c>
      <c r="G12" s="4">
        <f t="shared" si="8"/>
        <v>4.5</v>
      </c>
      <c r="H12" s="4">
        <f t="shared" si="9"/>
        <v>4.333333333</v>
      </c>
      <c r="I12" s="4">
        <f t="shared" si="10"/>
        <v>3.5</v>
      </c>
      <c r="J12" s="4">
        <f t="shared" si="11"/>
        <v>4.333333333</v>
      </c>
      <c r="K12" s="4">
        <f t="shared" si="12"/>
        <v>4.333333333</v>
      </c>
    </row>
    <row r="13">
      <c r="A13" s="3" t="s">
        <v>271</v>
      </c>
      <c r="B13" s="4">
        <f t="shared" ref="B13:J13" si="13">AVERAGE(B10:B12)</f>
        <v>4.652380952</v>
      </c>
      <c r="C13" s="4">
        <f t="shared" si="13"/>
        <v>4.425396825</v>
      </c>
      <c r="D13" s="4">
        <f t="shared" si="13"/>
        <v>4.277777778</v>
      </c>
      <c r="E13" s="4">
        <f t="shared" si="13"/>
        <v>3.563492063</v>
      </c>
      <c r="F13" s="4">
        <f t="shared" si="13"/>
        <v>2.530952381</v>
      </c>
      <c r="G13" s="4">
        <f t="shared" si="13"/>
        <v>3.56984127</v>
      </c>
      <c r="H13" s="4">
        <f t="shared" si="13"/>
        <v>3.054761905</v>
      </c>
      <c r="I13" s="4">
        <f t="shared" si="13"/>
        <v>2.43968254</v>
      </c>
      <c r="J13" s="4">
        <f t="shared" si="13"/>
        <v>3.057142857</v>
      </c>
      <c r="K13" s="4">
        <f t="shared" si="12"/>
        <v>3.507936508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 t="s">
        <v>172</v>
      </c>
      <c r="C1" s="5" t="s">
        <v>173</v>
      </c>
      <c r="D1" s="5" t="s">
        <v>174</v>
      </c>
      <c r="E1" s="5" t="s">
        <v>175</v>
      </c>
      <c r="F1" s="5" t="s">
        <v>176</v>
      </c>
      <c r="G1" s="5" t="s">
        <v>177</v>
      </c>
      <c r="H1" s="5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P1" s="5" t="s">
        <v>186</v>
      </c>
      <c r="Q1" s="5" t="s">
        <v>187</v>
      </c>
      <c r="R1" s="5" t="s">
        <v>188</v>
      </c>
      <c r="S1" s="5" t="s">
        <v>189</v>
      </c>
    </row>
    <row r="2">
      <c r="A2" s="3" t="s">
        <v>268</v>
      </c>
      <c r="B2" s="4">
        <v>4.933333333333334</v>
      </c>
      <c r="C2" s="4">
        <v>3.2666666666666666</v>
      </c>
      <c r="D2" s="4">
        <v>2.6</v>
      </c>
      <c r="E2" s="4">
        <v>4.666666666666667</v>
      </c>
      <c r="F2" s="4">
        <v>3.533333333333333</v>
      </c>
      <c r="G2" s="4">
        <v>3.1333333333333333</v>
      </c>
      <c r="H2" s="4">
        <v>2.6666666666666665</v>
      </c>
      <c r="I2" s="4">
        <v>2.3333333333333335</v>
      </c>
      <c r="J2" s="4">
        <v>2.2666666666666666</v>
      </c>
      <c r="K2" s="4">
        <v>1.1333333333333333</v>
      </c>
      <c r="L2" s="4">
        <v>3.6</v>
      </c>
      <c r="M2" s="4">
        <v>1.5333333333333334</v>
      </c>
      <c r="N2" s="4">
        <v>2.6666666666666665</v>
      </c>
      <c r="O2" s="4">
        <v>1.0666666666666667</v>
      </c>
      <c r="P2" s="4">
        <v>1.8</v>
      </c>
      <c r="Q2" s="4">
        <v>1.2666666666666666</v>
      </c>
      <c r="R2" s="4">
        <v>1.9333333333333333</v>
      </c>
      <c r="S2" s="4">
        <v>1.6</v>
      </c>
    </row>
    <row r="3">
      <c r="A3" s="3" t="s">
        <v>269</v>
      </c>
      <c r="B3" s="4">
        <v>5.0</v>
      </c>
      <c r="C3" s="4">
        <v>4.714285714285714</v>
      </c>
      <c r="D3" s="4">
        <v>4.357142857142857</v>
      </c>
      <c r="E3" s="4">
        <v>4.928571428571429</v>
      </c>
      <c r="F3" s="4">
        <v>4.571428571428571</v>
      </c>
      <c r="G3" s="4">
        <v>4.428571428571429</v>
      </c>
      <c r="H3" s="4">
        <v>3.9285714285714284</v>
      </c>
      <c r="I3" s="4">
        <v>3.7857142857142856</v>
      </c>
      <c r="J3" s="4">
        <v>3.857142857142857</v>
      </c>
      <c r="K3" s="4">
        <v>1.9285714285714286</v>
      </c>
      <c r="L3" s="4">
        <v>4.5</v>
      </c>
      <c r="M3" s="4">
        <v>2.7857142857142856</v>
      </c>
      <c r="N3" s="4">
        <v>3.2857142857142856</v>
      </c>
      <c r="O3" s="4">
        <v>2.642857142857143</v>
      </c>
      <c r="P3" s="4">
        <v>2.9285714285714284</v>
      </c>
      <c r="Q3" s="4">
        <v>1.6428571428571428</v>
      </c>
      <c r="R3" s="4">
        <v>2.9285714285714284</v>
      </c>
      <c r="S3" s="4">
        <v>3.2142857142857144</v>
      </c>
    </row>
    <row r="4">
      <c r="A4" s="3" t="s">
        <v>270</v>
      </c>
      <c r="B4" s="4">
        <v>5.0</v>
      </c>
      <c r="C4" s="4">
        <v>5.0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3.6666666666666665</v>
      </c>
      <c r="J4" s="4">
        <v>2.3333333333333335</v>
      </c>
      <c r="K4" s="4">
        <v>3.6666666666666665</v>
      </c>
      <c r="L4" s="4">
        <v>5.0</v>
      </c>
      <c r="M4" s="4">
        <v>4.0</v>
      </c>
      <c r="N4" s="4">
        <v>3.6666666666666665</v>
      </c>
      <c r="O4" s="4">
        <v>5.0</v>
      </c>
      <c r="P4" s="4">
        <v>3.6666666666666665</v>
      </c>
      <c r="Q4" s="4">
        <v>3.3333333333333335</v>
      </c>
      <c r="R4" s="4">
        <v>3.6666666666666665</v>
      </c>
      <c r="S4" s="4">
        <v>5.0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272</v>
      </c>
      <c r="B1" s="3" t="s">
        <v>273</v>
      </c>
      <c r="C1" s="3" t="s">
        <v>274</v>
      </c>
      <c r="D1" s="3" t="s">
        <v>275</v>
      </c>
    </row>
    <row r="2">
      <c r="A2" s="3" t="s">
        <v>276</v>
      </c>
      <c r="B2" s="13" t="s">
        <v>277</v>
      </c>
      <c r="C2" s="14">
        <v>11.0</v>
      </c>
      <c r="D2" s="4">
        <f t="shared" ref="D2:D17" si="1">C2/32</f>
        <v>0.34375</v>
      </c>
    </row>
    <row r="3">
      <c r="B3" s="13" t="s">
        <v>278</v>
      </c>
      <c r="C3" s="14">
        <v>12.0</v>
      </c>
      <c r="D3" s="4">
        <f t="shared" si="1"/>
        <v>0.375</v>
      </c>
    </row>
    <row r="4">
      <c r="B4" s="13" t="s">
        <v>279</v>
      </c>
      <c r="C4" s="14">
        <v>8.0</v>
      </c>
      <c r="D4" s="4">
        <f t="shared" si="1"/>
        <v>0.25</v>
      </c>
    </row>
    <row r="5">
      <c r="B5" s="13" t="s">
        <v>280</v>
      </c>
      <c r="C5" s="14">
        <v>1.0</v>
      </c>
      <c r="D5" s="4">
        <f t="shared" si="1"/>
        <v>0.03125</v>
      </c>
    </row>
    <row r="6">
      <c r="A6" s="3" t="s">
        <v>281</v>
      </c>
      <c r="B6" s="3" t="s">
        <v>282</v>
      </c>
      <c r="C6" s="3">
        <v>15.0</v>
      </c>
      <c r="D6" s="4">
        <f t="shared" si="1"/>
        <v>0.46875</v>
      </c>
    </row>
    <row r="7">
      <c r="B7" s="3" t="s">
        <v>44</v>
      </c>
      <c r="C7" s="3">
        <v>14.0</v>
      </c>
      <c r="D7" s="4">
        <f t="shared" si="1"/>
        <v>0.4375</v>
      </c>
    </row>
    <row r="8">
      <c r="B8" s="3" t="s">
        <v>93</v>
      </c>
      <c r="C8" s="3">
        <v>3.0</v>
      </c>
      <c r="D8" s="4">
        <f t="shared" si="1"/>
        <v>0.09375</v>
      </c>
    </row>
    <row r="9">
      <c r="A9" s="3" t="s">
        <v>283</v>
      </c>
      <c r="B9" s="15" t="s">
        <v>284</v>
      </c>
      <c r="C9" s="14">
        <v>9.0</v>
      </c>
      <c r="D9" s="4">
        <f t="shared" si="1"/>
        <v>0.28125</v>
      </c>
    </row>
    <row r="10">
      <c r="B10" s="15" t="s">
        <v>285</v>
      </c>
      <c r="C10" s="14">
        <v>4.0</v>
      </c>
      <c r="D10" s="4">
        <f t="shared" si="1"/>
        <v>0.125</v>
      </c>
    </row>
    <row r="11">
      <c r="B11" s="16" t="s">
        <v>286</v>
      </c>
      <c r="C11" s="14">
        <v>19.0</v>
      </c>
      <c r="D11" s="4">
        <f t="shared" si="1"/>
        <v>0.59375</v>
      </c>
    </row>
    <row r="12">
      <c r="A12" s="3" t="s">
        <v>287</v>
      </c>
      <c r="B12" s="3" t="s">
        <v>36</v>
      </c>
      <c r="C12" s="3">
        <v>28.0</v>
      </c>
      <c r="D12" s="4">
        <f t="shared" si="1"/>
        <v>0.875</v>
      </c>
    </row>
    <row r="13">
      <c r="B13" s="3" t="s">
        <v>37</v>
      </c>
      <c r="C13" s="3">
        <v>4.0</v>
      </c>
      <c r="D13" s="4">
        <f t="shared" si="1"/>
        <v>0.125</v>
      </c>
    </row>
    <row r="14">
      <c r="A14" s="3" t="s">
        <v>288</v>
      </c>
      <c r="B14" s="3" t="s">
        <v>36</v>
      </c>
      <c r="C14" s="3">
        <v>8.0</v>
      </c>
      <c r="D14" s="4">
        <f t="shared" si="1"/>
        <v>0.25</v>
      </c>
    </row>
    <row r="15">
      <c r="B15" s="3" t="s">
        <v>37</v>
      </c>
      <c r="C15" s="3">
        <v>24.0</v>
      </c>
      <c r="D15" s="4">
        <f t="shared" si="1"/>
        <v>0.75</v>
      </c>
    </row>
    <row r="16">
      <c r="A16" s="3" t="s">
        <v>289</v>
      </c>
      <c r="B16" s="3" t="s">
        <v>36</v>
      </c>
      <c r="C16" s="3">
        <v>20.0</v>
      </c>
      <c r="D16" s="4">
        <f t="shared" si="1"/>
        <v>0.625</v>
      </c>
    </row>
    <row r="17">
      <c r="B17" s="3" t="s">
        <v>37</v>
      </c>
      <c r="C17" s="3">
        <v>12.0</v>
      </c>
      <c r="D17" s="4">
        <f t="shared" si="1"/>
        <v>0.375</v>
      </c>
    </row>
  </sheetData>
  <drawing r:id="rId1"/>
</worksheet>
</file>